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harts/chart3.xml" ContentType="application/vnd.openxmlformats-officedocument.drawingml.char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jpeg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ate1904="1" showInkAnnotation="0" checkCompatibility="1" autoCompressPictures="0"/>
  <bookViews>
    <workbookView xWindow="2060" yWindow="140" windowWidth="24560" windowHeight="17060" tabRatio="500" activeTab="2"/>
  </bookViews>
  <sheets>
    <sheet name="fixed total cost" sheetId="6" r:id="rId1"/>
    <sheet name="plot" sheetId="7" r:id="rId2"/>
    <sheet name="vary s-c slope" sheetId="8" r:id="rId3"/>
  </sheets>
  <calcPr calcId="130407" concurrentCalc="0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G41" i="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3"/>
  <c r="F154"/>
  <c r="G141"/>
  <c r="G140"/>
  <c r="G139"/>
  <c r="G138"/>
  <c r="G137"/>
  <c r="G136"/>
  <c r="G135"/>
  <c r="G134"/>
  <c r="G133"/>
  <c r="G132"/>
  <c r="G131"/>
  <c r="G130"/>
  <c r="G129"/>
  <c r="G128"/>
  <c r="G127"/>
  <c r="G126"/>
  <c r="G125"/>
  <c r="G124"/>
  <c r="G123"/>
  <c r="G122"/>
  <c r="G121"/>
  <c r="G120"/>
  <c r="G119"/>
  <c r="G118"/>
  <c r="G117"/>
  <c r="G116"/>
  <c r="G115"/>
  <c r="G114"/>
  <c r="G113"/>
  <c r="G112"/>
  <c r="G111"/>
  <c r="G110"/>
  <c r="G109"/>
  <c r="G108"/>
  <c r="G107"/>
  <c r="G106"/>
  <c r="G105"/>
  <c r="G104"/>
  <c r="G103"/>
  <c r="G101"/>
  <c r="G102"/>
  <c r="G98"/>
  <c r="G97"/>
  <c r="G96"/>
  <c r="G95"/>
  <c r="G94"/>
  <c r="G93"/>
  <c r="G92"/>
  <c r="G91"/>
  <c r="G90"/>
  <c r="G89"/>
  <c r="G88"/>
  <c r="G87"/>
  <c r="G86"/>
  <c r="G85"/>
  <c r="G84"/>
  <c r="G83"/>
  <c r="G82"/>
  <c r="G81"/>
  <c r="G80"/>
  <c r="G79"/>
  <c r="G78"/>
  <c r="G77"/>
  <c r="G76"/>
  <c r="G75"/>
  <c r="G74"/>
  <c r="G73"/>
  <c r="G72"/>
  <c r="G71"/>
  <c r="G70"/>
  <c r="G69"/>
  <c r="G67"/>
  <c r="G68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9"/>
  <c r="D10"/>
  <c r="G62"/>
  <c r="G61"/>
  <c r="G60"/>
  <c r="G59"/>
  <c r="G58"/>
  <c r="G57"/>
  <c r="G56"/>
  <c r="G55"/>
  <c r="G54"/>
  <c r="G53"/>
  <c r="G52"/>
  <c r="G51"/>
  <c r="G50"/>
  <c r="G49"/>
  <c r="G48"/>
  <c r="G47"/>
  <c r="G46"/>
  <c r="G45"/>
  <c r="G44"/>
  <c r="G43"/>
  <c r="G42"/>
  <c r="G39"/>
  <c r="G40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9"/>
  <c r="L10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9"/>
  <c r="H10"/>
  <c r="D3"/>
  <c r="G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B185"/>
  <c r="C185"/>
  <c r="B184"/>
  <c r="C184"/>
  <c r="B183"/>
  <c r="C183"/>
  <c r="B182"/>
  <c r="C182"/>
  <c r="B181"/>
  <c r="C181"/>
  <c r="B180"/>
  <c r="C180"/>
  <c r="B179"/>
  <c r="C179"/>
  <c r="B178"/>
  <c r="C178"/>
  <c r="B177"/>
  <c r="C177"/>
  <c r="B176"/>
  <c r="C176"/>
  <c r="B175"/>
  <c r="C175"/>
  <c r="B174"/>
  <c r="C174"/>
  <c r="B173"/>
  <c r="C173"/>
  <c r="B172"/>
  <c r="C172"/>
  <c r="B171"/>
  <c r="C171"/>
  <c r="B170"/>
  <c r="C170"/>
  <c r="B169"/>
  <c r="C169"/>
  <c r="B168"/>
  <c r="C168"/>
  <c r="B167"/>
  <c r="C167"/>
  <c r="B166"/>
  <c r="C166"/>
  <c r="B165"/>
  <c r="C165"/>
  <c r="B164"/>
  <c r="C164"/>
  <c r="B163"/>
  <c r="C163"/>
  <c r="B162"/>
  <c r="C162"/>
  <c r="B161"/>
  <c r="C161"/>
  <c r="B160"/>
  <c r="C160"/>
  <c r="B159"/>
  <c r="C159"/>
  <c r="B158"/>
  <c r="C158"/>
  <c r="B157"/>
  <c r="C157"/>
  <c r="B156"/>
  <c r="C156"/>
  <c r="B155"/>
  <c r="C155"/>
  <c r="B154"/>
  <c r="C154"/>
  <c r="D154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B141"/>
  <c r="C141"/>
  <c r="B140"/>
  <c r="C140"/>
  <c r="B139"/>
  <c r="C139"/>
  <c r="B138"/>
  <c r="C138"/>
  <c r="B137"/>
  <c r="C137"/>
  <c r="B136"/>
  <c r="C136"/>
  <c r="B135"/>
  <c r="C135"/>
  <c r="B134"/>
  <c r="C134"/>
  <c r="B133"/>
  <c r="C133"/>
  <c r="B132"/>
  <c r="C132"/>
  <c r="B131"/>
  <c r="C131"/>
  <c r="B130"/>
  <c r="C130"/>
  <c r="B129"/>
  <c r="C129"/>
  <c r="B128"/>
  <c r="C128"/>
  <c r="B127"/>
  <c r="C127"/>
  <c r="B126"/>
  <c r="C126"/>
  <c r="B125"/>
  <c r="C125"/>
  <c r="B124"/>
  <c r="C124"/>
  <c r="B123"/>
  <c r="C123"/>
  <c r="B122"/>
  <c r="C122"/>
  <c r="B121"/>
  <c r="C121"/>
  <c r="B120"/>
  <c r="C120"/>
  <c r="B119"/>
  <c r="C119"/>
  <c r="B118"/>
  <c r="C118"/>
  <c r="B117"/>
  <c r="C117"/>
  <c r="B116"/>
  <c r="C116"/>
  <c r="B115"/>
  <c r="C115"/>
  <c r="B114"/>
  <c r="C114"/>
  <c r="B113"/>
  <c r="C113"/>
  <c r="B112"/>
  <c r="C112"/>
  <c r="B111"/>
  <c r="C111"/>
  <c r="B110"/>
  <c r="C110"/>
  <c r="B109"/>
  <c r="C109"/>
  <c r="B108"/>
  <c r="C108"/>
  <c r="B107"/>
  <c r="C107"/>
  <c r="B106"/>
  <c r="C106"/>
  <c r="B105"/>
  <c r="C105"/>
  <c r="B104"/>
  <c r="C104"/>
  <c r="B103"/>
  <c r="C103"/>
  <c r="B102"/>
  <c r="C102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B98"/>
  <c r="C98"/>
  <c r="B97"/>
  <c r="C97"/>
  <c r="B96"/>
  <c r="C96"/>
  <c r="B95"/>
  <c r="C95"/>
  <c r="B94"/>
  <c r="C94"/>
  <c r="B93"/>
  <c r="C93"/>
  <c r="B92"/>
  <c r="C92"/>
  <c r="B91"/>
  <c r="C91"/>
  <c r="B90"/>
  <c r="C90"/>
  <c r="B89"/>
  <c r="C89"/>
  <c r="B88"/>
  <c r="C88"/>
  <c r="B87"/>
  <c r="C87"/>
  <c r="B86"/>
  <c r="C86"/>
  <c r="B85"/>
  <c r="C85"/>
  <c r="B84"/>
  <c r="C84"/>
  <c r="B83"/>
  <c r="C83"/>
  <c r="B82"/>
  <c r="C82"/>
  <c r="B81"/>
  <c r="C81"/>
  <c r="B80"/>
  <c r="C80"/>
  <c r="B79"/>
  <c r="C79"/>
  <c r="B78"/>
  <c r="C78"/>
  <c r="B77"/>
  <c r="C77"/>
  <c r="B76"/>
  <c r="C76"/>
  <c r="B75"/>
  <c r="C75"/>
  <c r="B74"/>
  <c r="C74"/>
  <c r="B73"/>
  <c r="C73"/>
  <c r="B72"/>
  <c r="C72"/>
  <c r="B71"/>
  <c r="C71"/>
  <c r="B70"/>
  <c r="C70"/>
  <c r="B69"/>
  <c r="C69"/>
  <c r="B68"/>
  <c r="C68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B62"/>
  <c r="C62"/>
  <c r="B61"/>
  <c r="C61"/>
  <c r="B60"/>
  <c r="C60"/>
  <c r="B59"/>
  <c r="C59"/>
  <c r="B58"/>
  <c r="C58"/>
  <c r="B57"/>
  <c r="C57"/>
  <c r="B56"/>
  <c r="C56"/>
  <c r="B55"/>
  <c r="C55"/>
  <c r="B54"/>
  <c r="C54"/>
  <c r="B53"/>
  <c r="C53"/>
  <c r="B52"/>
  <c r="C52"/>
  <c r="B51"/>
  <c r="C51"/>
  <c r="B50"/>
  <c r="C50"/>
  <c r="B49"/>
  <c r="C49"/>
  <c r="B48"/>
  <c r="C48"/>
  <c r="B47"/>
  <c r="C47"/>
  <c r="B46"/>
  <c r="C46"/>
  <c r="B45"/>
  <c r="C45"/>
  <c r="B44"/>
  <c r="C44"/>
  <c r="B43"/>
  <c r="C43"/>
  <c r="B42"/>
  <c r="C42"/>
  <c r="B41"/>
  <c r="C41"/>
  <c r="B40"/>
  <c r="C40"/>
  <c r="D185"/>
  <c r="E185"/>
  <c r="D184"/>
  <c r="E184"/>
  <c r="D183"/>
  <c r="E183"/>
  <c r="D182"/>
  <c r="E182"/>
  <c r="D181"/>
  <c r="E181"/>
  <c r="D180"/>
  <c r="E180"/>
  <c r="D179"/>
  <c r="E179"/>
  <c r="D178"/>
  <c r="E178"/>
  <c r="D177"/>
  <c r="E177"/>
  <c r="D176"/>
  <c r="E176"/>
  <c r="D175"/>
  <c r="E175"/>
  <c r="D174"/>
  <c r="E174"/>
  <c r="D173"/>
  <c r="E173"/>
  <c r="D172"/>
  <c r="E172"/>
  <c r="D171"/>
  <c r="E171"/>
  <c r="D170"/>
  <c r="E170"/>
  <c r="D169"/>
  <c r="E169"/>
  <c r="D168"/>
  <c r="E168"/>
  <c r="D167"/>
  <c r="E167"/>
  <c r="D166"/>
  <c r="E166"/>
  <c r="D165"/>
  <c r="E165"/>
  <c r="D164"/>
  <c r="E164"/>
  <c r="D163"/>
  <c r="E163"/>
  <c r="D162"/>
  <c r="E162"/>
  <c r="D161"/>
  <c r="E161"/>
  <c r="D160"/>
  <c r="E160"/>
  <c r="D159"/>
  <c r="E159"/>
  <c r="D158"/>
  <c r="E158"/>
  <c r="D157"/>
  <c r="E157"/>
  <c r="D156"/>
  <c r="E156"/>
  <c r="D155"/>
  <c r="E155"/>
  <c r="E154"/>
  <c r="G185"/>
  <c r="G184"/>
  <c r="G183"/>
  <c r="G182"/>
  <c r="G181"/>
  <c r="G180"/>
  <c r="G179"/>
  <c r="G178"/>
  <c r="G177"/>
  <c r="B153"/>
  <c r="D153"/>
  <c r="C153"/>
  <c r="E153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F101"/>
  <c r="E98"/>
  <c r="I98"/>
  <c r="F98"/>
  <c r="D98"/>
  <c r="E97"/>
  <c r="I97"/>
  <c r="F97"/>
  <c r="D97"/>
  <c r="E96"/>
  <c r="I96"/>
  <c r="F96"/>
  <c r="D96"/>
  <c r="E95"/>
  <c r="I95"/>
  <c r="F95"/>
  <c r="D95"/>
  <c r="E94"/>
  <c r="I94"/>
  <c r="F94"/>
  <c r="D94"/>
  <c r="E93"/>
  <c r="I93"/>
  <c r="F93"/>
  <c r="D93"/>
  <c r="C101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F67"/>
  <c r="G176"/>
  <c r="E62"/>
  <c r="I62"/>
  <c r="F62"/>
  <c r="D62"/>
  <c r="G175"/>
  <c r="E61"/>
  <c r="I61"/>
  <c r="F61"/>
  <c r="D61"/>
  <c r="G174"/>
  <c r="E60"/>
  <c r="I60"/>
  <c r="F60"/>
  <c r="D60"/>
  <c r="G173"/>
  <c r="E59"/>
  <c r="I59"/>
  <c r="F59"/>
  <c r="D59"/>
  <c r="G172"/>
  <c r="E58"/>
  <c r="I58"/>
  <c r="F58"/>
  <c r="D58"/>
  <c r="G171"/>
  <c r="E57"/>
  <c r="I57"/>
  <c r="F57"/>
  <c r="D57"/>
  <c r="G170"/>
  <c r="E56"/>
  <c r="I56"/>
  <c r="F56"/>
  <c r="D56"/>
  <c r="E39"/>
  <c r="E55"/>
  <c r="E54"/>
  <c r="E53"/>
  <c r="E52"/>
  <c r="E51"/>
  <c r="E50"/>
  <c r="E49"/>
  <c r="E48"/>
  <c r="E47"/>
  <c r="E46"/>
  <c r="E45"/>
  <c r="E44"/>
  <c r="E43"/>
  <c r="E42"/>
  <c r="E41"/>
  <c r="E40"/>
  <c r="F39"/>
  <c r="J9"/>
  <c r="K9"/>
  <c r="M9"/>
  <c r="F9"/>
  <c r="G9"/>
  <c r="I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9"/>
  <c r="B10"/>
  <c r="O34"/>
  <c r="N34"/>
  <c r="O33"/>
  <c r="N33"/>
  <c r="O32"/>
  <c r="N32"/>
  <c r="O31"/>
  <c r="N31"/>
  <c r="O30"/>
  <c r="N30"/>
  <c r="O29"/>
  <c r="N29"/>
  <c r="O28"/>
  <c r="N28"/>
  <c r="O27"/>
  <c r="N27"/>
  <c r="O26"/>
  <c r="N26"/>
  <c r="O25"/>
  <c r="N25"/>
  <c r="O24"/>
  <c r="N24"/>
  <c r="O23"/>
  <c r="N23"/>
  <c r="O22"/>
  <c r="N22"/>
  <c r="O21"/>
  <c r="N21"/>
  <c r="O20"/>
  <c r="N20"/>
  <c r="O19"/>
  <c r="N19"/>
  <c r="O18"/>
  <c r="N18"/>
  <c r="O17"/>
  <c r="N17"/>
  <c r="O16"/>
  <c r="N16"/>
  <c r="O15"/>
  <c r="N15"/>
  <c r="O14"/>
  <c r="N14"/>
  <c r="O13"/>
  <c r="N13"/>
  <c r="O12"/>
  <c r="N12"/>
  <c r="O11"/>
  <c r="N11"/>
  <c r="O10"/>
  <c r="N10"/>
  <c r="O9"/>
  <c r="N9"/>
  <c r="G169"/>
  <c r="G168"/>
  <c r="G167"/>
  <c r="G166"/>
  <c r="G165"/>
  <c r="G164"/>
  <c r="G163"/>
  <c r="G162"/>
  <c r="G161"/>
  <c r="G160"/>
  <c r="G159"/>
  <c r="G158"/>
  <c r="G157"/>
  <c r="G156"/>
  <c r="G155"/>
  <c r="G154"/>
  <c r="K34"/>
  <c r="K33"/>
  <c r="K32"/>
  <c r="K31"/>
  <c r="K30"/>
  <c r="K29"/>
  <c r="K28"/>
  <c r="K27"/>
  <c r="K26"/>
  <c r="K25"/>
  <c r="K24"/>
  <c r="K23"/>
  <c r="K22"/>
  <c r="K21"/>
  <c r="K20"/>
  <c r="K19"/>
  <c r="K18"/>
  <c r="K17"/>
  <c r="K16"/>
  <c r="K15"/>
  <c r="K14"/>
  <c r="K13"/>
  <c r="K12"/>
  <c r="K11"/>
  <c r="K10"/>
  <c r="M34"/>
  <c r="M33"/>
  <c r="M32"/>
  <c r="M31"/>
  <c r="M30"/>
  <c r="M29"/>
  <c r="M28"/>
  <c r="M27"/>
  <c r="M26"/>
  <c r="M25"/>
  <c r="M24"/>
  <c r="M23"/>
  <c r="M22"/>
  <c r="M21"/>
  <c r="M20"/>
  <c r="M19"/>
  <c r="M18"/>
  <c r="M17"/>
  <c r="M16"/>
  <c r="M15"/>
  <c r="M14"/>
  <c r="M13"/>
  <c r="M12"/>
  <c r="M11"/>
  <c r="M10"/>
  <c r="G34"/>
  <c r="I34"/>
  <c r="G33"/>
  <c r="I33"/>
  <c r="G32"/>
  <c r="I32"/>
  <c r="G31"/>
  <c r="I31"/>
  <c r="G30"/>
  <c r="I30"/>
  <c r="G29"/>
  <c r="I29"/>
  <c r="G28"/>
  <c r="I28"/>
  <c r="G27"/>
  <c r="I27"/>
  <c r="G26"/>
  <c r="I26"/>
  <c r="G25"/>
  <c r="I25"/>
  <c r="G24"/>
  <c r="I24"/>
  <c r="G23"/>
  <c r="I23"/>
  <c r="G22"/>
  <c r="I22"/>
  <c r="G21"/>
  <c r="I21"/>
  <c r="G20"/>
  <c r="I20"/>
  <c r="G19"/>
  <c r="I19"/>
  <c r="G18"/>
  <c r="I18"/>
  <c r="G17"/>
  <c r="I17"/>
  <c r="G16"/>
  <c r="I16"/>
  <c r="G15"/>
  <c r="I15"/>
  <c r="G14"/>
  <c r="I14"/>
  <c r="G13"/>
  <c r="I13"/>
  <c r="G12"/>
  <c r="I12"/>
  <c r="G11"/>
  <c r="I11"/>
  <c r="G10"/>
  <c r="I10"/>
  <c r="C34"/>
  <c r="E34"/>
  <c r="C33"/>
  <c r="E33"/>
  <c r="C32"/>
  <c r="E32"/>
  <c r="C31"/>
  <c r="E31"/>
  <c r="C30"/>
  <c r="E30"/>
  <c r="C29"/>
  <c r="E29"/>
  <c r="C28"/>
  <c r="E28"/>
  <c r="C27"/>
  <c r="E27"/>
  <c r="C26"/>
  <c r="E26"/>
  <c r="C25"/>
  <c r="E25"/>
  <c r="C24"/>
  <c r="E24"/>
  <c r="C23"/>
  <c r="E23"/>
  <c r="C22"/>
  <c r="E22"/>
  <c r="C21"/>
  <c r="E21"/>
  <c r="C20"/>
  <c r="E20"/>
  <c r="C19"/>
  <c r="E19"/>
  <c r="C18"/>
  <c r="E18"/>
  <c r="C17"/>
  <c r="E17"/>
  <c r="C16"/>
  <c r="E16"/>
  <c r="C15"/>
  <c r="E15"/>
  <c r="C14"/>
  <c r="E14"/>
  <c r="C13"/>
  <c r="E13"/>
  <c r="C12"/>
  <c r="E12"/>
  <c r="C11"/>
  <c r="E11"/>
  <c r="C10"/>
  <c r="E10"/>
  <c r="C9"/>
  <c r="E9"/>
  <c r="I141"/>
  <c r="I140"/>
  <c r="I139"/>
  <c r="I138"/>
  <c r="I137"/>
  <c r="I136"/>
  <c r="I135"/>
  <c r="I134"/>
  <c r="I133"/>
  <c r="I132"/>
  <c r="I131"/>
  <c r="I130"/>
  <c r="I129"/>
  <c r="I128"/>
  <c r="I127"/>
  <c r="I126"/>
  <c r="I125"/>
  <c r="I124"/>
  <c r="I123"/>
  <c r="I122"/>
  <c r="I121"/>
  <c r="I120"/>
  <c r="I119"/>
  <c r="I118"/>
  <c r="I117"/>
  <c r="I116"/>
  <c r="I115"/>
  <c r="I114"/>
  <c r="I113"/>
  <c r="I112"/>
  <c r="I111"/>
  <c r="I110"/>
  <c r="I109"/>
  <c r="I108"/>
  <c r="I107"/>
  <c r="I106"/>
  <c r="I105"/>
  <c r="I104"/>
  <c r="I103"/>
  <c r="I102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55"/>
  <c r="I54"/>
  <c r="I53"/>
  <c r="I52"/>
  <c r="I51"/>
  <c r="I50"/>
  <c r="I49"/>
  <c r="I48"/>
  <c r="I47"/>
  <c r="I46"/>
  <c r="I45"/>
  <c r="I44"/>
  <c r="I43"/>
  <c r="I42"/>
  <c r="I41"/>
  <c r="I40"/>
  <c r="F141"/>
  <c r="F140"/>
  <c r="F139"/>
  <c r="F138"/>
  <c r="F137"/>
  <c r="F136"/>
  <c r="F135"/>
  <c r="F134"/>
  <c r="F133"/>
  <c r="F132"/>
  <c r="F131"/>
  <c r="F130"/>
  <c r="F129"/>
  <c r="F128"/>
  <c r="F127"/>
  <c r="F126"/>
  <c r="F125"/>
  <c r="F124"/>
  <c r="F123"/>
  <c r="F122"/>
  <c r="F121"/>
  <c r="F120"/>
  <c r="F119"/>
  <c r="F118"/>
  <c r="F117"/>
  <c r="F116"/>
  <c r="F115"/>
  <c r="F114"/>
  <c r="F113"/>
  <c r="F112"/>
  <c r="F111"/>
  <c r="F110"/>
  <c r="F109"/>
  <c r="F108"/>
  <c r="F107"/>
  <c r="F106"/>
  <c r="F105"/>
  <c r="F104"/>
  <c r="F103"/>
  <c r="F102"/>
  <c r="F92"/>
  <c r="F91"/>
  <c r="F90"/>
  <c r="F89"/>
  <c r="F88"/>
  <c r="F87"/>
  <c r="F86"/>
  <c r="F85"/>
  <c r="F84"/>
  <c r="F83"/>
  <c r="F82"/>
  <c r="F81"/>
  <c r="F80"/>
  <c r="F79"/>
  <c r="F78"/>
  <c r="F77"/>
  <c r="F76"/>
  <c r="F75"/>
  <c r="F74"/>
  <c r="F73"/>
  <c r="F72"/>
  <c r="F71"/>
  <c r="F70"/>
  <c r="F69"/>
  <c r="F68"/>
  <c r="D141"/>
  <c r="D140"/>
  <c r="D139"/>
  <c r="D138"/>
  <c r="D137"/>
  <c r="D136"/>
  <c r="D135"/>
  <c r="D134"/>
  <c r="D133"/>
  <c r="D132"/>
  <c r="D131"/>
  <c r="D130"/>
  <c r="D129"/>
  <c r="D128"/>
  <c r="D127"/>
  <c r="D126"/>
  <c r="D125"/>
  <c r="D124"/>
  <c r="D123"/>
  <c r="D122"/>
  <c r="D121"/>
  <c r="D120"/>
  <c r="D119"/>
  <c r="D118"/>
  <c r="D117"/>
  <c r="D116"/>
  <c r="D115"/>
  <c r="D114"/>
  <c r="D113"/>
  <c r="D112"/>
  <c r="D111"/>
  <c r="D110"/>
  <c r="D109"/>
  <c r="D108"/>
  <c r="D107"/>
  <c r="D106"/>
  <c r="D105"/>
  <c r="D104"/>
  <c r="D103"/>
  <c r="D102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F55"/>
  <c r="D55"/>
  <c r="F54"/>
  <c r="D54"/>
  <c r="F53"/>
  <c r="D53"/>
  <c r="F52"/>
  <c r="D52"/>
  <c r="F51"/>
  <c r="D51"/>
  <c r="F50"/>
  <c r="D50"/>
  <c r="F49"/>
  <c r="D49"/>
  <c r="F48"/>
  <c r="D48"/>
  <c r="F47"/>
  <c r="D47"/>
  <c r="F46"/>
  <c r="D46"/>
  <c r="F45"/>
  <c r="D45"/>
  <c r="F44"/>
  <c r="D44"/>
  <c r="F43"/>
  <c r="D43"/>
  <c r="F42"/>
  <c r="D42"/>
  <c r="F41"/>
  <c r="D41"/>
  <c r="F40"/>
  <c r="D40"/>
  <c r="C3" i="8"/>
  <c r="D3"/>
  <c r="G3"/>
  <c r="D185"/>
  <c r="F185"/>
  <c r="D184"/>
  <c r="F184"/>
  <c r="D183"/>
  <c r="F183"/>
  <c r="D182"/>
  <c r="F182"/>
  <c r="D181"/>
  <c r="F181"/>
  <c r="D180"/>
  <c r="F180"/>
  <c r="D179"/>
  <c r="F179"/>
  <c r="D178"/>
  <c r="F178"/>
  <c r="D177"/>
  <c r="F177"/>
  <c r="D176"/>
  <c r="F176"/>
  <c r="D175"/>
  <c r="F175"/>
  <c r="D174"/>
  <c r="F174"/>
  <c r="D173"/>
  <c r="F173"/>
  <c r="D172"/>
  <c r="F172"/>
  <c r="D171"/>
  <c r="F171"/>
  <c r="D170"/>
  <c r="F170"/>
  <c r="D169"/>
  <c r="F169"/>
  <c r="D168"/>
  <c r="F168"/>
  <c r="D167"/>
  <c r="F167"/>
  <c r="D166"/>
  <c r="F166"/>
  <c r="D165"/>
  <c r="F165"/>
  <c r="D164"/>
  <c r="F164"/>
  <c r="D163"/>
  <c r="F163"/>
  <c r="D162"/>
  <c r="F162"/>
  <c r="D161"/>
  <c r="F161"/>
  <c r="D160"/>
  <c r="F160"/>
  <c r="D159"/>
  <c r="F159"/>
  <c r="D158"/>
  <c r="F158"/>
  <c r="D157"/>
  <c r="F157"/>
  <c r="D156"/>
  <c r="F156"/>
  <c r="D155"/>
  <c r="F155"/>
  <c r="D154"/>
  <c r="F154"/>
  <c r="D153"/>
  <c r="F153"/>
  <c r="E141"/>
  <c r="G141"/>
  <c r="E140"/>
  <c r="G140"/>
  <c r="E139"/>
  <c r="G139"/>
  <c r="E138"/>
  <c r="G138"/>
  <c r="E137"/>
  <c r="G137"/>
  <c r="E136"/>
  <c r="G136"/>
  <c r="E135"/>
  <c r="G135"/>
  <c r="E134"/>
  <c r="G134"/>
  <c r="E133"/>
  <c r="G133"/>
  <c r="E132"/>
  <c r="G132"/>
  <c r="E131"/>
  <c r="G131"/>
  <c r="E130"/>
  <c r="G130"/>
  <c r="E129"/>
  <c r="G129"/>
  <c r="E128"/>
  <c r="G128"/>
  <c r="E127"/>
  <c r="G127"/>
  <c r="E126"/>
  <c r="G126"/>
  <c r="E125"/>
  <c r="G125"/>
  <c r="E124"/>
  <c r="G124"/>
  <c r="E123"/>
  <c r="G123"/>
  <c r="E122"/>
  <c r="G122"/>
  <c r="E121"/>
  <c r="G121"/>
  <c r="E120"/>
  <c r="G120"/>
  <c r="E119"/>
  <c r="G119"/>
  <c r="E118"/>
  <c r="G118"/>
  <c r="E117"/>
  <c r="G117"/>
  <c r="E116"/>
  <c r="G116"/>
  <c r="E115"/>
  <c r="G115"/>
  <c r="E114"/>
  <c r="G114"/>
  <c r="E113"/>
  <c r="G113"/>
  <c r="E112"/>
  <c r="G112"/>
  <c r="E111"/>
  <c r="G111"/>
  <c r="E110"/>
  <c r="G110"/>
  <c r="E109"/>
  <c r="G109"/>
  <c r="E108"/>
  <c r="G108"/>
  <c r="E107"/>
  <c r="G107"/>
  <c r="E106"/>
  <c r="G106"/>
  <c r="E105"/>
  <c r="G105"/>
  <c r="E104"/>
  <c r="G104"/>
  <c r="E103"/>
  <c r="G103"/>
  <c r="E102"/>
  <c r="G102"/>
  <c r="E101"/>
  <c r="G101"/>
  <c r="E98"/>
  <c r="G98"/>
  <c r="E97"/>
  <c r="G97"/>
  <c r="E96"/>
  <c r="G96"/>
  <c r="E95"/>
  <c r="G95"/>
  <c r="E94"/>
  <c r="G94"/>
  <c r="E93"/>
  <c r="G93"/>
  <c r="E92"/>
  <c r="G92"/>
  <c r="E91"/>
  <c r="G91"/>
  <c r="E90"/>
  <c r="G90"/>
  <c r="E89"/>
  <c r="G89"/>
  <c r="E88"/>
  <c r="G88"/>
  <c r="E87"/>
  <c r="G87"/>
  <c r="E86"/>
  <c r="G86"/>
  <c r="E85"/>
  <c r="G85"/>
  <c r="E84"/>
  <c r="G84"/>
  <c r="E83"/>
  <c r="G83"/>
  <c r="E82"/>
  <c r="G82"/>
  <c r="E81"/>
  <c r="G81"/>
  <c r="E80"/>
  <c r="G80"/>
  <c r="E79"/>
  <c r="G79"/>
  <c r="E78"/>
  <c r="G78"/>
  <c r="E77"/>
  <c r="G77"/>
  <c r="E76"/>
  <c r="G76"/>
  <c r="E75"/>
  <c r="G75"/>
  <c r="E74"/>
  <c r="G74"/>
  <c r="E73"/>
  <c r="G73"/>
  <c r="E72"/>
  <c r="G72"/>
  <c r="E71"/>
  <c r="G71"/>
  <c r="E70"/>
  <c r="G70"/>
  <c r="E69"/>
  <c r="G69"/>
  <c r="E68"/>
  <c r="G68"/>
  <c r="E67"/>
  <c r="G67"/>
  <c r="E62"/>
  <c r="G62"/>
  <c r="E61"/>
  <c r="G61"/>
  <c r="E60"/>
  <c r="G60"/>
  <c r="E59"/>
  <c r="G59"/>
  <c r="E58"/>
  <c r="G58"/>
  <c r="E57"/>
  <c r="G57"/>
  <c r="E56"/>
  <c r="G56"/>
  <c r="E55"/>
  <c r="G55"/>
  <c r="E54"/>
  <c r="G54"/>
  <c r="E53"/>
  <c r="G53"/>
  <c r="E52"/>
  <c r="G52"/>
  <c r="E51"/>
  <c r="G51"/>
  <c r="E50"/>
  <c r="G50"/>
  <c r="E49"/>
  <c r="G49"/>
  <c r="E48"/>
  <c r="G48"/>
  <c r="E47"/>
  <c r="G47"/>
  <c r="E46"/>
  <c r="G46"/>
  <c r="E45"/>
  <c r="G45"/>
  <c r="E44"/>
  <c r="G44"/>
  <c r="E43"/>
  <c r="G43"/>
  <c r="E42"/>
  <c r="G42"/>
  <c r="E41"/>
  <c r="G41"/>
  <c r="E40"/>
  <c r="G40"/>
  <c r="E39"/>
  <c r="G39"/>
  <c r="J34"/>
  <c r="L34"/>
  <c r="J33"/>
  <c r="L33"/>
  <c r="J32"/>
  <c r="L32"/>
  <c r="J31"/>
  <c r="L31"/>
  <c r="J30"/>
  <c r="L30"/>
  <c r="J29"/>
  <c r="L29"/>
  <c r="J28"/>
  <c r="L28"/>
  <c r="J27"/>
  <c r="L27"/>
  <c r="J26"/>
  <c r="L26"/>
  <c r="J25"/>
  <c r="L25"/>
  <c r="J24"/>
  <c r="L24"/>
  <c r="J23"/>
  <c r="L23"/>
  <c r="J22"/>
  <c r="L22"/>
  <c r="J21"/>
  <c r="L21"/>
  <c r="J20"/>
  <c r="L20"/>
  <c r="J19"/>
  <c r="L19"/>
  <c r="J18"/>
  <c r="L18"/>
  <c r="J17"/>
  <c r="L17"/>
  <c r="J16"/>
  <c r="L16"/>
  <c r="J15"/>
  <c r="L15"/>
  <c r="J14"/>
  <c r="L14"/>
  <c r="J13"/>
  <c r="L13"/>
  <c r="J12"/>
  <c r="L12"/>
  <c r="J11"/>
  <c r="L11"/>
  <c r="J10"/>
  <c r="L10"/>
  <c r="J9"/>
  <c r="L9"/>
  <c r="F34"/>
  <c r="H34"/>
  <c r="F33"/>
  <c r="H33"/>
  <c r="F32"/>
  <c r="H32"/>
  <c r="F31"/>
  <c r="H31"/>
  <c r="F30"/>
  <c r="H30"/>
  <c r="F29"/>
  <c r="H29"/>
  <c r="F28"/>
  <c r="H28"/>
  <c r="F27"/>
  <c r="H27"/>
  <c r="F26"/>
  <c r="H26"/>
  <c r="F25"/>
  <c r="H25"/>
  <c r="F24"/>
  <c r="H24"/>
  <c r="F23"/>
  <c r="H23"/>
  <c r="F22"/>
  <c r="H22"/>
  <c r="F21"/>
  <c r="H21"/>
  <c r="F20"/>
  <c r="H20"/>
  <c r="F19"/>
  <c r="H19"/>
  <c r="F18"/>
  <c r="H18"/>
  <c r="F17"/>
  <c r="H17"/>
  <c r="F16"/>
  <c r="H16"/>
  <c r="F15"/>
  <c r="H15"/>
  <c r="F14"/>
  <c r="H14"/>
  <c r="F13"/>
  <c r="H13"/>
  <c r="F12"/>
  <c r="H12"/>
  <c r="F11"/>
  <c r="H11"/>
  <c r="F10"/>
  <c r="H10"/>
  <c r="F9"/>
  <c r="H9"/>
  <c r="B34"/>
  <c r="D34"/>
  <c r="B33"/>
  <c r="D33"/>
  <c r="B32"/>
  <c r="D32"/>
  <c r="B31"/>
  <c r="D31"/>
  <c r="B30"/>
  <c r="D30"/>
  <c r="B29"/>
  <c r="D29"/>
  <c r="B28"/>
  <c r="D28"/>
  <c r="B27"/>
  <c r="D27"/>
  <c r="B26"/>
  <c r="D26"/>
  <c r="B25"/>
  <c r="D25"/>
  <c r="B24"/>
  <c r="D24"/>
  <c r="B23"/>
  <c r="D23"/>
  <c r="B22"/>
  <c r="D22"/>
  <c r="B21"/>
  <c r="D21"/>
  <c r="B20"/>
  <c r="D20"/>
  <c r="B19"/>
  <c r="D19"/>
  <c r="B18"/>
  <c r="D18"/>
  <c r="B17"/>
  <c r="D17"/>
  <c r="B16"/>
  <c r="D16"/>
  <c r="B15"/>
  <c r="D15"/>
  <c r="B14"/>
  <c r="D14"/>
  <c r="B13"/>
  <c r="D13"/>
  <c r="B12"/>
  <c r="D12"/>
  <c r="B11"/>
  <c r="D11"/>
  <c r="B9"/>
  <c r="D9"/>
  <c r="B10"/>
  <c r="D10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B185"/>
  <c r="C185"/>
  <c r="E185"/>
  <c r="G185"/>
  <c r="B184"/>
  <c r="C184"/>
  <c r="E184"/>
  <c r="G184"/>
  <c r="B183"/>
  <c r="C183"/>
  <c r="E183"/>
  <c r="G183"/>
  <c r="B182"/>
  <c r="C182"/>
  <c r="E182"/>
  <c r="G182"/>
  <c r="B181"/>
  <c r="C181"/>
  <c r="E181"/>
  <c r="G181"/>
  <c r="B180"/>
  <c r="C180"/>
  <c r="E180"/>
  <c r="G180"/>
  <c r="B179"/>
  <c r="C179"/>
  <c r="E179"/>
  <c r="G179"/>
  <c r="B178"/>
  <c r="C178"/>
  <c r="E178"/>
  <c r="G178"/>
  <c r="B177"/>
  <c r="C177"/>
  <c r="E177"/>
  <c r="G177"/>
  <c r="B176"/>
  <c r="C176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B62"/>
  <c r="E176"/>
  <c r="G176"/>
  <c r="B175"/>
  <c r="C175"/>
  <c r="B61"/>
  <c r="E175"/>
  <c r="G175"/>
  <c r="B174"/>
  <c r="C174"/>
  <c r="B60"/>
  <c r="E174"/>
  <c r="G174"/>
  <c r="B173"/>
  <c r="C173"/>
  <c r="B59"/>
  <c r="E173"/>
  <c r="G173"/>
  <c r="B172"/>
  <c r="C172"/>
  <c r="B58"/>
  <c r="E172"/>
  <c r="G172"/>
  <c r="B171"/>
  <c r="C171"/>
  <c r="B57"/>
  <c r="E171"/>
  <c r="G171"/>
  <c r="B170"/>
  <c r="C170"/>
  <c r="B56"/>
  <c r="E170"/>
  <c r="G170"/>
  <c r="B169"/>
  <c r="C169"/>
  <c r="B55"/>
  <c r="E169"/>
  <c r="G169"/>
  <c r="B168"/>
  <c r="C168"/>
  <c r="B54"/>
  <c r="E168"/>
  <c r="G168"/>
  <c r="B167"/>
  <c r="C167"/>
  <c r="B53"/>
  <c r="E167"/>
  <c r="G167"/>
  <c r="B166"/>
  <c r="C166"/>
  <c r="B52"/>
  <c r="E166"/>
  <c r="G166"/>
  <c r="B165"/>
  <c r="C165"/>
  <c r="B51"/>
  <c r="E165"/>
  <c r="G165"/>
  <c r="B164"/>
  <c r="C164"/>
  <c r="B50"/>
  <c r="E164"/>
  <c r="G164"/>
  <c r="B163"/>
  <c r="C163"/>
  <c r="B49"/>
  <c r="E163"/>
  <c r="G163"/>
  <c r="B162"/>
  <c r="C162"/>
  <c r="B48"/>
  <c r="E162"/>
  <c r="G162"/>
  <c r="B161"/>
  <c r="C161"/>
  <c r="B47"/>
  <c r="E161"/>
  <c r="G161"/>
  <c r="B160"/>
  <c r="C160"/>
  <c r="B46"/>
  <c r="E160"/>
  <c r="G160"/>
  <c r="B159"/>
  <c r="C159"/>
  <c r="B45"/>
  <c r="E159"/>
  <c r="G159"/>
  <c r="B158"/>
  <c r="C158"/>
  <c r="B44"/>
  <c r="E158"/>
  <c r="G158"/>
  <c r="B157"/>
  <c r="C157"/>
  <c r="B43"/>
  <c r="E157"/>
  <c r="G157"/>
  <c r="B156"/>
  <c r="C156"/>
  <c r="B42"/>
  <c r="E156"/>
  <c r="G156"/>
  <c r="B155"/>
  <c r="C155"/>
  <c r="B41"/>
  <c r="E155"/>
  <c r="G155"/>
  <c r="B154"/>
  <c r="C154"/>
  <c r="E154"/>
  <c r="G154"/>
  <c r="B153"/>
  <c r="C153"/>
  <c r="E153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B141"/>
  <c r="I141"/>
  <c r="C141"/>
  <c r="F141"/>
  <c r="D141"/>
  <c r="B140"/>
  <c r="I140"/>
  <c r="C140"/>
  <c r="F140"/>
  <c r="D140"/>
  <c r="B139"/>
  <c r="I139"/>
  <c r="C139"/>
  <c r="F139"/>
  <c r="D139"/>
  <c r="B138"/>
  <c r="I138"/>
  <c r="C138"/>
  <c r="F138"/>
  <c r="D138"/>
  <c r="B137"/>
  <c r="I137"/>
  <c r="C137"/>
  <c r="F137"/>
  <c r="D137"/>
  <c r="B136"/>
  <c r="I136"/>
  <c r="C136"/>
  <c r="F136"/>
  <c r="D136"/>
  <c r="B135"/>
  <c r="I135"/>
  <c r="C135"/>
  <c r="F135"/>
  <c r="D135"/>
  <c r="B134"/>
  <c r="I134"/>
  <c r="C134"/>
  <c r="F134"/>
  <c r="D134"/>
  <c r="B133"/>
  <c r="I133"/>
  <c r="C133"/>
  <c r="F133"/>
  <c r="D133"/>
  <c r="B132"/>
  <c r="I132"/>
  <c r="C132"/>
  <c r="F132"/>
  <c r="D132"/>
  <c r="B131"/>
  <c r="I131"/>
  <c r="C131"/>
  <c r="F131"/>
  <c r="D131"/>
  <c r="B130"/>
  <c r="I130"/>
  <c r="C130"/>
  <c r="F130"/>
  <c r="D130"/>
  <c r="B129"/>
  <c r="I129"/>
  <c r="C129"/>
  <c r="F129"/>
  <c r="D129"/>
  <c r="B128"/>
  <c r="I128"/>
  <c r="C128"/>
  <c r="F128"/>
  <c r="D128"/>
  <c r="B127"/>
  <c r="I127"/>
  <c r="C127"/>
  <c r="F127"/>
  <c r="D127"/>
  <c r="B126"/>
  <c r="I126"/>
  <c r="C126"/>
  <c r="F126"/>
  <c r="D126"/>
  <c r="B125"/>
  <c r="I125"/>
  <c r="C125"/>
  <c r="F125"/>
  <c r="D125"/>
  <c r="B124"/>
  <c r="I124"/>
  <c r="C124"/>
  <c r="F124"/>
  <c r="D124"/>
  <c r="B123"/>
  <c r="I123"/>
  <c r="C123"/>
  <c r="F123"/>
  <c r="D123"/>
  <c r="B122"/>
  <c r="I122"/>
  <c r="C122"/>
  <c r="F122"/>
  <c r="D122"/>
  <c r="B121"/>
  <c r="I121"/>
  <c r="C121"/>
  <c r="F121"/>
  <c r="D121"/>
  <c r="B120"/>
  <c r="I120"/>
  <c r="C120"/>
  <c r="F120"/>
  <c r="D120"/>
  <c r="B119"/>
  <c r="I119"/>
  <c r="C119"/>
  <c r="F119"/>
  <c r="D119"/>
  <c r="B118"/>
  <c r="I118"/>
  <c r="C118"/>
  <c r="F118"/>
  <c r="D118"/>
  <c r="B117"/>
  <c r="I117"/>
  <c r="C117"/>
  <c r="F117"/>
  <c r="D117"/>
  <c r="B116"/>
  <c r="I116"/>
  <c r="C116"/>
  <c r="F116"/>
  <c r="D116"/>
  <c r="B115"/>
  <c r="I115"/>
  <c r="C115"/>
  <c r="F115"/>
  <c r="D115"/>
  <c r="B114"/>
  <c r="I114"/>
  <c r="C114"/>
  <c r="F114"/>
  <c r="D114"/>
  <c r="B113"/>
  <c r="I113"/>
  <c r="C113"/>
  <c r="F113"/>
  <c r="D113"/>
  <c r="B112"/>
  <c r="I112"/>
  <c r="C112"/>
  <c r="F112"/>
  <c r="D112"/>
  <c r="B111"/>
  <c r="I111"/>
  <c r="C111"/>
  <c r="F111"/>
  <c r="D111"/>
  <c r="B110"/>
  <c r="I110"/>
  <c r="C110"/>
  <c r="F110"/>
  <c r="D110"/>
  <c r="B109"/>
  <c r="I109"/>
  <c r="C109"/>
  <c r="F109"/>
  <c r="D109"/>
  <c r="B108"/>
  <c r="I108"/>
  <c r="C108"/>
  <c r="F108"/>
  <c r="D108"/>
  <c r="B107"/>
  <c r="I107"/>
  <c r="C107"/>
  <c r="F107"/>
  <c r="D107"/>
  <c r="B106"/>
  <c r="I106"/>
  <c r="C106"/>
  <c r="F106"/>
  <c r="D106"/>
  <c r="B105"/>
  <c r="I105"/>
  <c r="C105"/>
  <c r="F105"/>
  <c r="D105"/>
  <c r="B104"/>
  <c r="I104"/>
  <c r="C104"/>
  <c r="F104"/>
  <c r="D104"/>
  <c r="B103"/>
  <c r="I103"/>
  <c r="C103"/>
  <c r="F103"/>
  <c r="D103"/>
  <c r="B102"/>
  <c r="I102"/>
  <c r="C102"/>
  <c r="F102"/>
  <c r="D102"/>
  <c r="C101"/>
  <c r="F101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B98"/>
  <c r="I98"/>
  <c r="C98"/>
  <c r="F98"/>
  <c r="D98"/>
  <c r="B97"/>
  <c r="I97"/>
  <c r="C97"/>
  <c r="F97"/>
  <c r="D97"/>
  <c r="B96"/>
  <c r="I96"/>
  <c r="C96"/>
  <c r="F96"/>
  <c r="D96"/>
  <c r="B95"/>
  <c r="I95"/>
  <c r="C95"/>
  <c r="F95"/>
  <c r="D95"/>
  <c r="B94"/>
  <c r="I94"/>
  <c r="C94"/>
  <c r="F94"/>
  <c r="D94"/>
  <c r="B93"/>
  <c r="I93"/>
  <c r="C93"/>
  <c r="F93"/>
  <c r="D93"/>
  <c r="B92"/>
  <c r="I92"/>
  <c r="C92"/>
  <c r="F92"/>
  <c r="D92"/>
  <c r="B91"/>
  <c r="I91"/>
  <c r="C91"/>
  <c r="F91"/>
  <c r="D91"/>
  <c r="B90"/>
  <c r="I90"/>
  <c r="C90"/>
  <c r="F90"/>
  <c r="D90"/>
  <c r="B89"/>
  <c r="I89"/>
  <c r="C89"/>
  <c r="F89"/>
  <c r="D89"/>
  <c r="B88"/>
  <c r="I88"/>
  <c r="C88"/>
  <c r="F88"/>
  <c r="D88"/>
  <c r="B87"/>
  <c r="I87"/>
  <c r="C87"/>
  <c r="F87"/>
  <c r="D87"/>
  <c r="B86"/>
  <c r="I86"/>
  <c r="C86"/>
  <c r="F86"/>
  <c r="D86"/>
  <c r="B85"/>
  <c r="I85"/>
  <c r="C85"/>
  <c r="F85"/>
  <c r="D85"/>
  <c r="B84"/>
  <c r="I84"/>
  <c r="C84"/>
  <c r="F84"/>
  <c r="D84"/>
  <c r="B83"/>
  <c r="I83"/>
  <c r="C83"/>
  <c r="F83"/>
  <c r="D83"/>
  <c r="B82"/>
  <c r="I82"/>
  <c r="C82"/>
  <c r="F82"/>
  <c r="D82"/>
  <c r="B81"/>
  <c r="I81"/>
  <c r="C81"/>
  <c r="F81"/>
  <c r="D81"/>
  <c r="B80"/>
  <c r="I80"/>
  <c r="C80"/>
  <c r="F80"/>
  <c r="D80"/>
  <c r="B79"/>
  <c r="I79"/>
  <c r="C79"/>
  <c r="F79"/>
  <c r="D79"/>
  <c r="B78"/>
  <c r="I78"/>
  <c r="C78"/>
  <c r="F78"/>
  <c r="D78"/>
  <c r="B77"/>
  <c r="I77"/>
  <c r="C77"/>
  <c r="F77"/>
  <c r="D77"/>
  <c r="B76"/>
  <c r="I76"/>
  <c r="C76"/>
  <c r="F76"/>
  <c r="D76"/>
  <c r="B75"/>
  <c r="I75"/>
  <c r="C75"/>
  <c r="F75"/>
  <c r="D75"/>
  <c r="B74"/>
  <c r="I74"/>
  <c r="C74"/>
  <c r="F74"/>
  <c r="D74"/>
  <c r="B73"/>
  <c r="I73"/>
  <c r="C73"/>
  <c r="F73"/>
  <c r="D73"/>
  <c r="B72"/>
  <c r="I72"/>
  <c r="C72"/>
  <c r="F72"/>
  <c r="D72"/>
  <c r="B71"/>
  <c r="I71"/>
  <c r="C71"/>
  <c r="F71"/>
  <c r="D71"/>
  <c r="B70"/>
  <c r="I70"/>
  <c r="C70"/>
  <c r="F70"/>
  <c r="D70"/>
  <c r="B69"/>
  <c r="I69"/>
  <c r="C69"/>
  <c r="F69"/>
  <c r="D69"/>
  <c r="B68"/>
  <c r="I68"/>
  <c r="C68"/>
  <c r="F68"/>
  <c r="D68"/>
  <c r="F67"/>
  <c r="I62"/>
  <c r="C62"/>
  <c r="F62"/>
  <c r="D62"/>
  <c r="I61"/>
  <c r="C61"/>
  <c r="F61"/>
  <c r="D61"/>
  <c r="I60"/>
  <c r="C60"/>
  <c r="F60"/>
  <c r="D60"/>
  <c r="I59"/>
  <c r="C59"/>
  <c r="F59"/>
  <c r="D59"/>
  <c r="I58"/>
  <c r="C58"/>
  <c r="F58"/>
  <c r="D58"/>
  <c r="I57"/>
  <c r="C57"/>
  <c r="F57"/>
  <c r="D57"/>
  <c r="I56"/>
  <c r="C56"/>
  <c r="F56"/>
  <c r="D56"/>
  <c r="I55"/>
  <c r="C55"/>
  <c r="F55"/>
  <c r="D55"/>
  <c r="I54"/>
  <c r="C54"/>
  <c r="F54"/>
  <c r="D54"/>
  <c r="I53"/>
  <c r="C53"/>
  <c r="F53"/>
  <c r="D53"/>
  <c r="I52"/>
  <c r="C52"/>
  <c r="F52"/>
  <c r="D52"/>
  <c r="I51"/>
  <c r="C51"/>
  <c r="F51"/>
  <c r="D51"/>
  <c r="I50"/>
  <c r="C50"/>
  <c r="F50"/>
  <c r="D50"/>
  <c r="I49"/>
  <c r="C49"/>
  <c r="F49"/>
  <c r="D49"/>
  <c r="I48"/>
  <c r="C48"/>
  <c r="F48"/>
  <c r="D48"/>
  <c r="I47"/>
  <c r="C47"/>
  <c r="F47"/>
  <c r="D47"/>
  <c r="I46"/>
  <c r="C46"/>
  <c r="F46"/>
  <c r="D46"/>
  <c r="I45"/>
  <c r="C45"/>
  <c r="F45"/>
  <c r="D45"/>
  <c r="I44"/>
  <c r="C44"/>
  <c r="F44"/>
  <c r="D44"/>
  <c r="I43"/>
  <c r="C43"/>
  <c r="F43"/>
  <c r="D43"/>
  <c r="I42"/>
  <c r="C42"/>
  <c r="F42"/>
  <c r="D42"/>
  <c r="I41"/>
  <c r="C41"/>
  <c r="F41"/>
  <c r="D41"/>
  <c r="B40"/>
  <c r="I40"/>
  <c r="C40"/>
  <c r="F40"/>
  <c r="D40"/>
  <c r="F3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O34"/>
  <c r="N34"/>
  <c r="K34"/>
  <c r="M34"/>
  <c r="G34"/>
  <c r="I34"/>
  <c r="C34"/>
  <c r="E34"/>
  <c r="O33"/>
  <c r="N33"/>
  <c r="K33"/>
  <c r="M33"/>
  <c r="G33"/>
  <c r="I33"/>
  <c r="C33"/>
  <c r="E33"/>
  <c r="O32"/>
  <c r="N32"/>
  <c r="K32"/>
  <c r="M32"/>
  <c r="G32"/>
  <c r="I32"/>
  <c r="C32"/>
  <c r="E32"/>
  <c r="O31"/>
  <c r="N31"/>
  <c r="K31"/>
  <c r="M31"/>
  <c r="G31"/>
  <c r="I31"/>
  <c r="C31"/>
  <c r="E31"/>
  <c r="O30"/>
  <c r="N30"/>
  <c r="K30"/>
  <c r="M30"/>
  <c r="G30"/>
  <c r="I30"/>
  <c r="C30"/>
  <c r="E30"/>
  <c r="O29"/>
  <c r="N29"/>
  <c r="K29"/>
  <c r="M29"/>
  <c r="G29"/>
  <c r="I29"/>
  <c r="C29"/>
  <c r="E29"/>
  <c r="O28"/>
  <c r="N28"/>
  <c r="K28"/>
  <c r="M28"/>
  <c r="G28"/>
  <c r="I28"/>
  <c r="C28"/>
  <c r="E28"/>
  <c r="O27"/>
  <c r="N27"/>
  <c r="K27"/>
  <c r="M27"/>
  <c r="G27"/>
  <c r="I27"/>
  <c r="C27"/>
  <c r="E27"/>
  <c r="O26"/>
  <c r="N26"/>
  <c r="K26"/>
  <c r="M26"/>
  <c r="G26"/>
  <c r="I26"/>
  <c r="C26"/>
  <c r="E26"/>
  <c r="O25"/>
  <c r="N25"/>
  <c r="K25"/>
  <c r="M25"/>
  <c r="G25"/>
  <c r="I25"/>
  <c r="C25"/>
  <c r="E25"/>
  <c r="O24"/>
  <c r="N24"/>
  <c r="K24"/>
  <c r="M24"/>
  <c r="G24"/>
  <c r="I24"/>
  <c r="C24"/>
  <c r="E24"/>
  <c r="O23"/>
  <c r="N23"/>
  <c r="K23"/>
  <c r="M23"/>
  <c r="G23"/>
  <c r="I23"/>
  <c r="C23"/>
  <c r="E23"/>
  <c r="O22"/>
  <c r="N22"/>
  <c r="K22"/>
  <c r="M22"/>
  <c r="G22"/>
  <c r="I22"/>
  <c r="C22"/>
  <c r="E22"/>
  <c r="O21"/>
  <c r="N21"/>
  <c r="K21"/>
  <c r="M21"/>
  <c r="G21"/>
  <c r="I21"/>
  <c r="C21"/>
  <c r="E21"/>
  <c r="O20"/>
  <c r="N20"/>
  <c r="K20"/>
  <c r="M20"/>
  <c r="G20"/>
  <c r="I20"/>
  <c r="C20"/>
  <c r="E20"/>
  <c r="O19"/>
  <c r="N19"/>
  <c r="K19"/>
  <c r="M19"/>
  <c r="G19"/>
  <c r="I19"/>
  <c r="C19"/>
  <c r="E19"/>
  <c r="O18"/>
  <c r="N18"/>
  <c r="K18"/>
  <c r="M18"/>
  <c r="G18"/>
  <c r="I18"/>
  <c r="C18"/>
  <c r="E18"/>
  <c r="O17"/>
  <c r="N17"/>
  <c r="K17"/>
  <c r="M17"/>
  <c r="G17"/>
  <c r="I17"/>
  <c r="C17"/>
  <c r="E17"/>
  <c r="O16"/>
  <c r="N16"/>
  <c r="K16"/>
  <c r="M16"/>
  <c r="G16"/>
  <c r="I16"/>
  <c r="C16"/>
  <c r="E16"/>
  <c r="O15"/>
  <c r="N15"/>
  <c r="K15"/>
  <c r="M15"/>
  <c r="G15"/>
  <c r="I15"/>
  <c r="C15"/>
  <c r="E15"/>
  <c r="O14"/>
  <c r="N14"/>
  <c r="K14"/>
  <c r="M14"/>
  <c r="G14"/>
  <c r="I14"/>
  <c r="C14"/>
  <c r="E14"/>
  <c r="O13"/>
  <c r="N13"/>
  <c r="K13"/>
  <c r="M13"/>
  <c r="G13"/>
  <c r="I13"/>
  <c r="C13"/>
  <c r="E13"/>
  <c r="O12"/>
  <c r="N12"/>
  <c r="K12"/>
  <c r="M12"/>
  <c r="G12"/>
  <c r="I12"/>
  <c r="C12"/>
  <c r="E12"/>
  <c r="O11"/>
  <c r="N11"/>
  <c r="K11"/>
  <c r="M11"/>
  <c r="G11"/>
  <c r="I11"/>
  <c r="C11"/>
  <c r="E11"/>
  <c r="O10"/>
  <c r="N10"/>
  <c r="K10"/>
  <c r="M10"/>
  <c r="G10"/>
  <c r="I10"/>
  <c r="C10"/>
  <c r="E10"/>
  <c r="O9"/>
  <c r="N9"/>
  <c r="K9"/>
  <c r="M9"/>
  <c r="G9"/>
  <c r="I9"/>
  <c r="C9"/>
  <c r="E9"/>
</calcChain>
</file>

<file path=xl/sharedStrings.xml><?xml version="1.0" encoding="utf-8"?>
<sst xmlns="http://schemas.openxmlformats.org/spreadsheetml/2006/main" count="123" uniqueCount="34">
  <si>
    <t>cost</t>
    <phoneticPr fontId="1" type="noConversion"/>
  </si>
  <si>
    <t>fut cost</t>
    <phoneticPr fontId="1" type="noConversion"/>
  </si>
  <si>
    <t>fut So</t>
    <phoneticPr fontId="1" type="noConversion"/>
  </si>
  <si>
    <t>fut n</t>
    <phoneticPr fontId="1" type="noConversion"/>
  </si>
  <si>
    <t>fut rate</t>
    <phoneticPr fontId="1" type="noConversion"/>
  </si>
  <si>
    <t>fut r/c</t>
    <phoneticPr fontId="1" type="noConversion"/>
  </si>
  <si>
    <t>dish cost</t>
    <phoneticPr fontId="1" type="noConversion"/>
  </si>
  <si>
    <t>dsp cost</t>
    <phoneticPr fontId="1" type="noConversion"/>
  </si>
  <si>
    <t>Ao</t>
    <phoneticPr fontId="1" type="noConversion"/>
  </si>
  <si>
    <t>lin size</t>
    <phoneticPr fontId="1" type="noConversion"/>
  </si>
  <si>
    <t>future array with signal proc cost reduced by two</t>
    <phoneticPr fontId="1" type="noConversion"/>
  </si>
  <si>
    <t>nu=</t>
    <phoneticPr fontId="1" type="noConversion"/>
  </si>
  <si>
    <t>nu=</t>
    <phoneticPr fontId="1" type="noConversion"/>
  </si>
  <si>
    <t>m</t>
    <phoneticPr fontId="1" type="noConversion"/>
  </si>
  <si>
    <t>Aeff</t>
    <phoneticPr fontId="1" type="noConversion"/>
  </si>
  <si>
    <t>f</t>
    <phoneticPr fontId="1" type="noConversion"/>
  </si>
  <si>
    <t>m</t>
    <phoneticPr fontId="1" type="noConversion"/>
  </si>
  <si>
    <t>area</t>
    <phoneticPr fontId="1" type="noConversion"/>
  </si>
  <si>
    <t>dish</t>
    <phoneticPr fontId="1" type="noConversion"/>
  </si>
  <si>
    <t>constants</t>
    <phoneticPr fontId="1" type="noConversion"/>
  </si>
  <si>
    <t>cost</t>
    <phoneticPr fontId="1" type="noConversion"/>
  </si>
  <si>
    <t>Do</t>
    <phoneticPr fontId="1" type="noConversion"/>
  </si>
  <si>
    <t>So</t>
    <phoneticPr fontId="1" type="noConversion"/>
  </si>
  <si>
    <t xml:space="preserve">n </t>
    <phoneticPr fontId="1" type="noConversion"/>
  </si>
  <si>
    <t>Aeff</t>
    <phoneticPr fontId="1" type="noConversion"/>
  </si>
  <si>
    <t>r/c</t>
    <phoneticPr fontId="1" type="noConversion"/>
  </si>
  <si>
    <t xml:space="preserve">cost </t>
    <phoneticPr fontId="1" type="noConversion"/>
  </si>
  <si>
    <t>rate</t>
    <phoneticPr fontId="1" type="noConversion"/>
  </si>
  <si>
    <t>Ap Arr</t>
    <phoneticPr fontId="1" type="noConversion"/>
  </si>
  <si>
    <t>n*m</t>
    <phoneticPr fontId="1" type="noConversion"/>
  </si>
  <si>
    <t>n</t>
    <phoneticPr fontId="1" type="noConversion"/>
  </si>
  <si>
    <t>cost</t>
    <phoneticPr fontId="1" type="noConversion"/>
  </si>
  <si>
    <t>rate</t>
    <phoneticPr fontId="1" type="noConversion"/>
  </si>
  <si>
    <t>count rate slope</t>
    <phoneticPr fontId="1" type="noConversion"/>
  </si>
</sst>
</file>

<file path=xl/styles.xml><?xml version="1.0" encoding="utf-8"?>
<styleSheet xmlns="http://schemas.openxmlformats.org/spreadsheetml/2006/main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8" formatCode="0.0"/>
  </numFmts>
  <fonts count="2">
    <font>
      <sz val="10"/>
      <name val="Verdana"/>
    </font>
    <font>
      <sz val="8"/>
      <name val="Verdana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168" fontId="0" fillId="0" borderId="0" xfId="0" applyNumberFormat="1"/>
    <xf numFmtId="168" fontId="0" fillId="0" borderId="0" xfId="0" applyNumberFormat="1"/>
  </cellXfs>
  <cellStyles count="1">
    <cellStyle name="Normal" xfId="0" builtinId="0"/>
  </cellStyles>
  <dxfs count="0"/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plotArea>
      <c:layout>
        <c:manualLayout>
          <c:layoutTarget val="inner"/>
          <c:xMode val="edge"/>
          <c:yMode val="edge"/>
          <c:x val="0.0831924126691146"/>
          <c:y val="0.0357142857142857"/>
          <c:w val="0.651215441819772"/>
          <c:h val="0.799648950131234"/>
        </c:manualLayout>
      </c:layout>
      <c:scatterChart>
        <c:scatterStyle val="smoothMarker"/>
        <c:ser>
          <c:idx val="0"/>
          <c:order val="0"/>
          <c:tx>
            <c:v>400 MHz Ap Arr</c:v>
          </c:tx>
          <c:spPr>
            <a:ln>
              <a:noFill/>
            </a:ln>
          </c:spPr>
          <c:marker>
            <c:symbol val="x"/>
            <c:size val="5"/>
          </c:marker>
          <c:xVal>
            <c:numRef>
              <c:f>'fixed total cost'!$C$40:$C$56</c:f>
              <c:numCache>
                <c:formatCode>0.00</c:formatCode>
                <c:ptCount val="17"/>
                <c:pt idx="0">
                  <c:v>0.18</c:v>
                </c:pt>
                <c:pt idx="1">
                  <c:v>0.72</c:v>
                </c:pt>
                <c:pt idx="2">
                  <c:v>1.62</c:v>
                </c:pt>
                <c:pt idx="3">
                  <c:v>2.88</c:v>
                </c:pt>
                <c:pt idx="4">
                  <c:v>4.5</c:v>
                </c:pt>
                <c:pt idx="5">
                  <c:v>6.48</c:v>
                </c:pt>
                <c:pt idx="6">
                  <c:v>8.82</c:v>
                </c:pt>
                <c:pt idx="7">
                  <c:v>11.52</c:v>
                </c:pt>
                <c:pt idx="8">
                  <c:v>14.58</c:v>
                </c:pt>
                <c:pt idx="9">
                  <c:v>18.0</c:v>
                </c:pt>
                <c:pt idx="10">
                  <c:v>21.78</c:v>
                </c:pt>
                <c:pt idx="11">
                  <c:v>25.92</c:v>
                </c:pt>
                <c:pt idx="12">
                  <c:v>30.42</c:v>
                </c:pt>
                <c:pt idx="13">
                  <c:v>35.28</c:v>
                </c:pt>
                <c:pt idx="14">
                  <c:v>40.5</c:v>
                </c:pt>
                <c:pt idx="15">
                  <c:v>46.08</c:v>
                </c:pt>
                <c:pt idx="16">
                  <c:v>52.02</c:v>
                </c:pt>
              </c:numCache>
            </c:numRef>
          </c:xVal>
          <c:yVal>
            <c:numRef>
              <c:f>'fixed total cost'!$D$40:$D$56</c:f>
              <c:numCache>
                <c:formatCode>0.00</c:formatCode>
                <c:ptCount val="17"/>
                <c:pt idx="0">
                  <c:v>0.0135480921248166</c:v>
                </c:pt>
                <c:pt idx="1">
                  <c:v>0.0183202035881376</c:v>
                </c:pt>
                <c:pt idx="2">
                  <c:v>0.0169003926671422</c:v>
                </c:pt>
                <c:pt idx="3">
                  <c:v>0.013786931453774</c:v>
                </c:pt>
                <c:pt idx="4">
                  <c:v>0.0108767893127774</c:v>
                </c:pt>
                <c:pt idx="5">
                  <c:v>0.0085777757759613</c:v>
                </c:pt>
                <c:pt idx="6">
                  <c:v>0.00684228892841021</c:v>
                </c:pt>
                <c:pt idx="7">
                  <c:v>0.00553981918684417</c:v>
                </c:pt>
                <c:pt idx="8">
                  <c:v>0.00455380282377596</c:v>
                </c:pt>
                <c:pt idx="9">
                  <c:v>0.00379694907161245</c:v>
                </c:pt>
                <c:pt idx="10">
                  <c:v>0.00320710119567076</c:v>
                </c:pt>
                <c:pt idx="11">
                  <c:v>0.00274047792207982</c:v>
                </c:pt>
                <c:pt idx="12">
                  <c:v>0.00236609963862773</c:v>
                </c:pt>
                <c:pt idx="13">
                  <c:v>0.00206180282688077</c:v>
                </c:pt>
                <c:pt idx="14">
                  <c:v>0.00181151544036321</c:v>
                </c:pt>
                <c:pt idx="15">
                  <c:v>0.00160341576294046</c:v>
                </c:pt>
                <c:pt idx="16">
                  <c:v>0.00142868525747698</c:v>
                </c:pt>
              </c:numCache>
            </c:numRef>
          </c:yVal>
          <c:smooth val="1"/>
        </c:ser>
        <c:ser>
          <c:idx val="1"/>
          <c:order val="1"/>
          <c:tx>
            <c:v>800 MHZ Ap Arr</c:v>
          </c:tx>
          <c:spPr>
            <a:ln w="28575">
              <a:noFill/>
            </a:ln>
          </c:spPr>
          <c:marker>
            <c:symbol val="x"/>
            <c:size val="7"/>
          </c:marker>
          <c:xVal>
            <c:numRef>
              <c:f>'fixed total cost'!$C$68:$C$85</c:f>
              <c:numCache>
                <c:formatCode>0.00</c:formatCode>
                <c:ptCount val="18"/>
                <c:pt idx="0">
                  <c:v>0.045</c:v>
                </c:pt>
                <c:pt idx="1">
                  <c:v>0.18</c:v>
                </c:pt>
                <c:pt idx="2">
                  <c:v>0.405</c:v>
                </c:pt>
                <c:pt idx="3">
                  <c:v>0.72</c:v>
                </c:pt>
                <c:pt idx="4">
                  <c:v>1.125</c:v>
                </c:pt>
                <c:pt idx="5">
                  <c:v>1.62</c:v>
                </c:pt>
                <c:pt idx="6">
                  <c:v>2.205</c:v>
                </c:pt>
                <c:pt idx="7">
                  <c:v>2.88</c:v>
                </c:pt>
                <c:pt idx="8">
                  <c:v>3.645</c:v>
                </c:pt>
                <c:pt idx="9">
                  <c:v>4.5</c:v>
                </c:pt>
                <c:pt idx="10">
                  <c:v>5.444999999999999</c:v>
                </c:pt>
                <c:pt idx="11">
                  <c:v>6.48</c:v>
                </c:pt>
                <c:pt idx="12">
                  <c:v>7.604999999999999</c:v>
                </c:pt>
                <c:pt idx="13">
                  <c:v>8.82</c:v>
                </c:pt>
                <c:pt idx="14">
                  <c:v>10.125</c:v>
                </c:pt>
                <c:pt idx="15">
                  <c:v>11.52</c:v>
                </c:pt>
                <c:pt idx="16">
                  <c:v>13.005</c:v>
                </c:pt>
                <c:pt idx="17">
                  <c:v>14.58</c:v>
                </c:pt>
              </c:numCache>
            </c:numRef>
          </c:xVal>
          <c:yVal>
            <c:numRef>
              <c:f>'fixed total cost'!$D$68:$D$85</c:f>
              <c:numCache>
                <c:formatCode>0.00</c:formatCode>
                <c:ptCount val="18"/>
                <c:pt idx="0">
                  <c:v>0.00258525977113939</c:v>
                </c:pt>
                <c:pt idx="1">
                  <c:v>0.00415540304728142</c:v>
                </c:pt>
                <c:pt idx="2">
                  <c:v>0.00459173416402405</c:v>
                </c:pt>
                <c:pt idx="3">
                  <c:v>0.00433873316836466</c:v>
                </c:pt>
                <c:pt idx="4">
                  <c:v>0.00381759426339316</c:v>
                </c:pt>
                <c:pt idx="5">
                  <c:v>0.00325813412831264</c:v>
                </c:pt>
                <c:pt idx="6">
                  <c:v>0.00275224463872781</c:v>
                </c:pt>
                <c:pt idx="7">
                  <c:v>0.00232430446772753</c:v>
                </c:pt>
                <c:pt idx="8">
                  <c:v>0.00197189742747433</c:v>
                </c:pt>
                <c:pt idx="9">
                  <c:v>0.00168424114857778</c:v>
                </c:pt>
                <c:pt idx="10">
                  <c:v>0.00144944665269674</c:v>
                </c:pt>
                <c:pt idx="11">
                  <c:v>0.00125696685751306</c:v>
                </c:pt>
                <c:pt idx="12">
                  <c:v>0.00109815437711222</c:v>
                </c:pt>
                <c:pt idx="13">
                  <c:v>0.000966150760786025</c:v>
                </c:pt>
                <c:pt idx="14">
                  <c:v>0.000855588414034159</c:v>
                </c:pt>
                <c:pt idx="15">
                  <c:v>0.000762281171206326</c:v>
                </c:pt>
                <c:pt idx="16">
                  <c:v>0.000682958696267886</c:v>
                </c:pt>
                <c:pt idx="17">
                  <c:v>0.000615054559958288</c:v>
                </c:pt>
              </c:numCache>
            </c:numRef>
          </c:yVal>
          <c:smooth val="1"/>
        </c:ser>
        <c:ser>
          <c:idx val="3"/>
          <c:order val="2"/>
          <c:tx>
            <c:v>400 MHz Dish Arr</c:v>
          </c:tx>
          <c:spPr>
            <a:ln w="28575">
              <a:solidFill>
                <a:srgbClr val="3366FF"/>
              </a:solidFill>
            </a:ln>
          </c:spPr>
          <c:marker>
            <c:symbol val="none"/>
          </c:marker>
          <c:xVal>
            <c:numRef>
              <c:f>'fixed total cost'!$A$19:$A$34</c:f>
              <c:numCache>
                <c:formatCode>0.00</c:formatCode>
                <c:ptCount val="16"/>
                <c:pt idx="0">
                  <c:v>20.0</c:v>
                </c:pt>
                <c:pt idx="1">
                  <c:v>22.0</c:v>
                </c:pt>
                <c:pt idx="2">
                  <c:v>24.0</c:v>
                </c:pt>
                <c:pt idx="3">
                  <c:v>26.0</c:v>
                </c:pt>
                <c:pt idx="4">
                  <c:v>28.0</c:v>
                </c:pt>
                <c:pt idx="5">
                  <c:v>30.0</c:v>
                </c:pt>
                <c:pt idx="6">
                  <c:v>32.0</c:v>
                </c:pt>
                <c:pt idx="7">
                  <c:v>34.0</c:v>
                </c:pt>
                <c:pt idx="8">
                  <c:v>36.0</c:v>
                </c:pt>
                <c:pt idx="9">
                  <c:v>38.0</c:v>
                </c:pt>
                <c:pt idx="10">
                  <c:v>40.0</c:v>
                </c:pt>
                <c:pt idx="11">
                  <c:v>42.0</c:v>
                </c:pt>
                <c:pt idx="12">
                  <c:v>44.0</c:v>
                </c:pt>
                <c:pt idx="13">
                  <c:v>46.0</c:v>
                </c:pt>
                <c:pt idx="14">
                  <c:v>48.0</c:v>
                </c:pt>
                <c:pt idx="15">
                  <c:v>50.0</c:v>
                </c:pt>
              </c:numCache>
            </c:numRef>
          </c:xVal>
          <c:yVal>
            <c:numRef>
              <c:f>'fixed total cost'!$E$19:$E$34</c:f>
              <c:numCache>
                <c:formatCode>0.0</c:formatCode>
                <c:ptCount val="16"/>
                <c:pt idx="0">
                  <c:v>0.0318368126643338</c:v>
                </c:pt>
                <c:pt idx="1">
                  <c:v>0.0295599577267872</c:v>
                </c:pt>
                <c:pt idx="2">
                  <c:v>0.0275150199623474</c:v>
                </c:pt>
                <c:pt idx="3">
                  <c:v>0.0256772109155544</c:v>
                </c:pt>
                <c:pt idx="4">
                  <c:v>0.0240228236741491</c:v>
                </c:pt>
                <c:pt idx="5">
                  <c:v>0.0225302193523753</c:v>
                </c:pt>
                <c:pt idx="6">
                  <c:v>0.021180127979715</c:v>
                </c:pt>
                <c:pt idx="7">
                  <c:v>0.0199556196346477</c:v>
                </c:pt>
                <c:pt idx="8">
                  <c:v>0.0188419282035335</c:v>
                </c:pt>
                <c:pt idx="9">
                  <c:v>0.0178262206108313</c:v>
                </c:pt>
                <c:pt idx="10">
                  <c:v>0.016897357674012</c:v>
                </c:pt>
                <c:pt idx="11">
                  <c:v>0.0160456683020394</c:v>
                </c:pt>
                <c:pt idx="12">
                  <c:v>0.0152627460411706</c:v>
                </c:pt>
                <c:pt idx="13">
                  <c:v>0.0145412704799979</c:v>
                </c:pt>
                <c:pt idx="14">
                  <c:v>0.0138748528479654</c:v>
                </c:pt>
                <c:pt idx="15">
                  <c:v>0.0132579037207244</c:v>
                </c:pt>
              </c:numCache>
            </c:numRef>
          </c:yVal>
          <c:smooth val="1"/>
        </c:ser>
        <c:ser>
          <c:idx val="4"/>
          <c:order val="3"/>
          <c:tx>
            <c:v>800 MHz Dish Arr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'fixed total cost'!$A$13:$A$34</c:f>
              <c:numCache>
                <c:formatCode>0.00</c:formatCode>
                <c:ptCount val="22"/>
                <c:pt idx="0">
                  <c:v>8.0</c:v>
                </c:pt>
                <c:pt idx="1">
                  <c:v>10.0</c:v>
                </c:pt>
                <c:pt idx="2">
                  <c:v>12.0</c:v>
                </c:pt>
                <c:pt idx="3">
                  <c:v>14.0</c:v>
                </c:pt>
                <c:pt idx="4">
                  <c:v>16.0</c:v>
                </c:pt>
                <c:pt idx="5">
                  <c:v>18.0</c:v>
                </c:pt>
                <c:pt idx="6">
                  <c:v>20.0</c:v>
                </c:pt>
                <c:pt idx="7">
                  <c:v>22.0</c:v>
                </c:pt>
                <c:pt idx="8">
                  <c:v>24.0</c:v>
                </c:pt>
                <c:pt idx="9">
                  <c:v>26.0</c:v>
                </c:pt>
                <c:pt idx="10">
                  <c:v>28.0</c:v>
                </c:pt>
                <c:pt idx="11">
                  <c:v>30.0</c:v>
                </c:pt>
                <c:pt idx="12">
                  <c:v>32.0</c:v>
                </c:pt>
                <c:pt idx="13">
                  <c:v>34.0</c:v>
                </c:pt>
                <c:pt idx="14">
                  <c:v>36.0</c:v>
                </c:pt>
                <c:pt idx="15">
                  <c:v>38.0</c:v>
                </c:pt>
                <c:pt idx="16">
                  <c:v>40.0</c:v>
                </c:pt>
                <c:pt idx="17">
                  <c:v>42.0</c:v>
                </c:pt>
                <c:pt idx="18">
                  <c:v>44.0</c:v>
                </c:pt>
                <c:pt idx="19">
                  <c:v>46.0</c:v>
                </c:pt>
                <c:pt idx="20">
                  <c:v>48.0</c:v>
                </c:pt>
                <c:pt idx="21">
                  <c:v>50.0</c:v>
                </c:pt>
              </c:numCache>
            </c:numRef>
          </c:xVal>
          <c:yVal>
            <c:numRef>
              <c:f>'fixed total cost'!$I$13:$I$34</c:f>
              <c:numCache>
                <c:formatCode>0.0</c:formatCode>
                <c:ptCount val="22"/>
                <c:pt idx="0">
                  <c:v>0.0103428945607631</c:v>
                </c:pt>
                <c:pt idx="1">
                  <c:v>0.0103283350902921</c:v>
                </c:pt>
                <c:pt idx="2">
                  <c:v>0.0101326559263286</c:v>
                </c:pt>
                <c:pt idx="3">
                  <c:v>0.00983424542541836</c:v>
                </c:pt>
                <c:pt idx="4">
                  <c:v>0.00948083673991498</c:v>
                </c:pt>
                <c:pt idx="5">
                  <c:v>0.00910195712558737</c:v>
                </c:pt>
                <c:pt idx="6">
                  <c:v>0.00871593557050715</c:v>
                </c:pt>
                <c:pt idx="7">
                  <c:v>0.00833406107442176</c:v>
                </c:pt>
                <c:pt idx="8">
                  <c:v>0.00796313516035399</c:v>
                </c:pt>
                <c:pt idx="9">
                  <c:v>0.0076070758813341</c:v>
                </c:pt>
                <c:pt idx="10">
                  <c:v>0.00726794315467285</c:v>
                </c:pt>
                <c:pt idx="11">
                  <c:v>0.00694660258490515</c:v>
                </c:pt>
                <c:pt idx="12">
                  <c:v>0.0066431592715159</c:v>
                </c:pt>
                <c:pt idx="13">
                  <c:v>0.00635724311355861</c:v>
                </c:pt>
                <c:pt idx="14">
                  <c:v>0.00608819709273559</c:v>
                </c:pt>
                <c:pt idx="15">
                  <c:v>0.00583520155544736</c:v>
                </c:pt>
                <c:pt idx="16">
                  <c:v>0.00559735595103697</c:v>
                </c:pt>
                <c:pt idx="17">
                  <c:v>0.00537373212555331</c:v>
                </c:pt>
                <c:pt idx="18">
                  <c:v>0.00516340852435556</c:v>
                </c:pt>
                <c:pt idx="19">
                  <c:v>0.00496549155900939</c:v>
                </c:pt>
                <c:pt idx="20">
                  <c:v>0.00477912835052809</c:v>
                </c:pt>
                <c:pt idx="21">
                  <c:v>0.00460351370059748</c:v>
                </c:pt>
              </c:numCache>
            </c:numRef>
          </c:yVal>
          <c:smooth val="1"/>
        </c:ser>
        <c:ser>
          <c:idx val="5"/>
          <c:order val="4"/>
          <c:tx>
            <c:v>1600 MHz Dish Arr</c:v>
          </c:tx>
          <c:spPr>
            <a:ln w="28575">
              <a:solidFill>
                <a:srgbClr val="008000"/>
              </a:solidFill>
            </a:ln>
          </c:spPr>
          <c:marker>
            <c:symbol val="none"/>
          </c:marker>
          <c:xVal>
            <c:numRef>
              <c:f>'fixed total cost'!$A$10:$A$34</c:f>
              <c:numCache>
                <c:formatCode>0.00</c:formatCode>
                <c:ptCount val="25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  <c:pt idx="5">
                  <c:v>12.0</c:v>
                </c:pt>
                <c:pt idx="6">
                  <c:v>14.0</c:v>
                </c:pt>
                <c:pt idx="7">
                  <c:v>16.0</c:v>
                </c:pt>
                <c:pt idx="8">
                  <c:v>18.0</c:v>
                </c:pt>
                <c:pt idx="9">
                  <c:v>20.0</c:v>
                </c:pt>
                <c:pt idx="10">
                  <c:v>22.0</c:v>
                </c:pt>
                <c:pt idx="11">
                  <c:v>24.0</c:v>
                </c:pt>
                <c:pt idx="12">
                  <c:v>26.0</c:v>
                </c:pt>
                <c:pt idx="13">
                  <c:v>28.0</c:v>
                </c:pt>
                <c:pt idx="14">
                  <c:v>30.0</c:v>
                </c:pt>
                <c:pt idx="15">
                  <c:v>32.0</c:v>
                </c:pt>
                <c:pt idx="16">
                  <c:v>34.0</c:v>
                </c:pt>
                <c:pt idx="17">
                  <c:v>36.0</c:v>
                </c:pt>
                <c:pt idx="18">
                  <c:v>38.0</c:v>
                </c:pt>
                <c:pt idx="19">
                  <c:v>40.0</c:v>
                </c:pt>
                <c:pt idx="20">
                  <c:v>42.0</c:v>
                </c:pt>
                <c:pt idx="21">
                  <c:v>44.0</c:v>
                </c:pt>
                <c:pt idx="22">
                  <c:v>46.0</c:v>
                </c:pt>
                <c:pt idx="23">
                  <c:v>48.0</c:v>
                </c:pt>
                <c:pt idx="24">
                  <c:v>50.0</c:v>
                </c:pt>
              </c:numCache>
            </c:numRef>
          </c:xVal>
          <c:yVal>
            <c:numRef>
              <c:f>'fixed total cost'!$M$10:$M$34</c:f>
              <c:numCache>
                <c:formatCode>0.0</c:formatCode>
                <c:ptCount val="25"/>
                <c:pt idx="0">
                  <c:v>0.00111952889013813</c:v>
                </c:pt>
                <c:pt idx="1">
                  <c:v>0.00149697392662675</c:v>
                </c:pt>
                <c:pt idx="2">
                  <c:v>0.00172428357548151</c:v>
                </c:pt>
                <c:pt idx="3">
                  <c:v>0.00186748861209467</c:v>
                </c:pt>
                <c:pt idx="4">
                  <c:v>0.00195583609175333</c:v>
                </c:pt>
                <c:pt idx="5">
                  <c:v>0.00200611145442186</c:v>
                </c:pt>
                <c:pt idx="6">
                  <c:v>0.00202916207221596</c:v>
                </c:pt>
                <c:pt idx="7">
                  <c:v>0.00203245909236276</c:v>
                </c:pt>
                <c:pt idx="8">
                  <c:v>0.00202134486862588</c:v>
                </c:pt>
                <c:pt idx="9">
                  <c:v>0.001999730407169</c:v>
                </c:pt>
                <c:pt idx="10">
                  <c:v>0.00197052325529039</c:v>
                </c:pt>
                <c:pt idx="11">
                  <c:v>0.00193590728475826</c:v>
                </c:pt>
                <c:pt idx="12">
                  <c:v>0.00189753396494279</c:v>
                </c:pt>
                <c:pt idx="13">
                  <c:v>0.00185665735236079</c:v>
                </c:pt>
                <c:pt idx="14">
                  <c:v>0.00181423160372211</c:v>
                </c:pt>
                <c:pt idx="15">
                  <c:v>0.00177098266230595</c:v>
                </c:pt>
                <c:pt idx="16">
                  <c:v>0.00172746167681225</c:v>
                </c:pt>
                <c:pt idx="17">
                  <c:v>0.00168408523774574</c:v>
                </c:pt>
                <c:pt idx="18">
                  <c:v>0.0016411659497799</c:v>
                </c:pt>
                <c:pt idx="19">
                  <c:v>0.00159893582920149</c:v>
                </c:pt>
                <c:pt idx="20">
                  <c:v>0.00155756431880548</c:v>
                </c:pt>
                <c:pt idx="21">
                  <c:v>0.00151717222958961</c:v>
                </c:pt>
                <c:pt idx="22">
                  <c:v>0.00147784257716651</c:v>
                </c:pt>
                <c:pt idx="23">
                  <c:v>0.00143962903558857</c:v>
                </c:pt>
                <c:pt idx="24">
                  <c:v>0.00140256255280803</c:v>
                </c:pt>
              </c:numCache>
            </c:numRef>
          </c:yVal>
          <c:smooth val="1"/>
        </c:ser>
        <c:ser>
          <c:idx val="2"/>
          <c:order val="5"/>
          <c:tx>
            <c:v>1600 MHz Ap Arr</c:v>
          </c:tx>
          <c:spPr>
            <a:ln w="28575">
              <a:noFill/>
            </a:ln>
          </c:spPr>
          <c:marker>
            <c:symbol val="star"/>
            <c:size val="7"/>
            <c:spPr>
              <a:noFill/>
            </c:spPr>
          </c:marker>
          <c:xVal>
            <c:numRef>
              <c:f>'fixed total cost'!$C$102:$C$121</c:f>
              <c:numCache>
                <c:formatCode>0.00</c:formatCode>
                <c:ptCount val="20"/>
                <c:pt idx="0">
                  <c:v>0.01125</c:v>
                </c:pt>
                <c:pt idx="1">
                  <c:v>0.045</c:v>
                </c:pt>
                <c:pt idx="2">
                  <c:v>0.10125</c:v>
                </c:pt>
                <c:pt idx="3">
                  <c:v>0.18</c:v>
                </c:pt>
                <c:pt idx="4">
                  <c:v>0.28125</c:v>
                </c:pt>
                <c:pt idx="5">
                  <c:v>0.405</c:v>
                </c:pt>
                <c:pt idx="6">
                  <c:v>0.55125</c:v>
                </c:pt>
                <c:pt idx="7">
                  <c:v>0.72</c:v>
                </c:pt>
                <c:pt idx="8">
                  <c:v>0.91125</c:v>
                </c:pt>
                <c:pt idx="9">
                  <c:v>1.125</c:v>
                </c:pt>
                <c:pt idx="10">
                  <c:v>1.36125</c:v>
                </c:pt>
                <c:pt idx="11">
                  <c:v>1.62</c:v>
                </c:pt>
                <c:pt idx="12">
                  <c:v>1.90125</c:v>
                </c:pt>
                <c:pt idx="13">
                  <c:v>2.205</c:v>
                </c:pt>
                <c:pt idx="14">
                  <c:v>2.53125</c:v>
                </c:pt>
                <c:pt idx="15">
                  <c:v>2.88</c:v>
                </c:pt>
                <c:pt idx="16">
                  <c:v>3.25125</c:v>
                </c:pt>
                <c:pt idx="17">
                  <c:v>3.645</c:v>
                </c:pt>
                <c:pt idx="18">
                  <c:v>4.06125</c:v>
                </c:pt>
                <c:pt idx="19">
                  <c:v>4.5</c:v>
                </c:pt>
              </c:numCache>
            </c:numRef>
          </c:xVal>
          <c:yVal>
            <c:numRef>
              <c:f>'fixed total cost'!$D$102:$D$121</c:f>
              <c:numCache>
                <c:formatCode>0.00</c:formatCode>
                <c:ptCount val="20"/>
                <c:pt idx="0">
                  <c:v>0.000475539505126147</c:v>
                </c:pt>
                <c:pt idx="1">
                  <c:v>0.000846755757801035</c:v>
                </c:pt>
                <c:pt idx="2">
                  <c:v>0.00106554477508158</c:v>
                </c:pt>
                <c:pt idx="3">
                  <c:v>0.0011450127242586</c:v>
                </c:pt>
                <c:pt idx="4">
                  <c:v>0.00112769588502356</c:v>
                </c:pt>
                <c:pt idx="5">
                  <c:v>0.00105627454169639</c:v>
                </c:pt>
                <c:pt idx="6">
                  <c:v>0.000961479046069388</c:v>
                </c:pt>
                <c:pt idx="7">
                  <c:v>0.000861683215860876</c:v>
                </c:pt>
                <c:pt idx="8">
                  <c:v>0.000766404690661816</c:v>
                </c:pt>
                <c:pt idx="9">
                  <c:v>0.00067979933204859</c:v>
                </c:pt>
                <c:pt idx="10">
                  <c:v>0.000603104654839552</c:v>
                </c:pt>
                <c:pt idx="11">
                  <c:v>0.000536110985997582</c:v>
                </c:pt>
                <c:pt idx="12">
                  <c:v>0.00047797513337613</c:v>
                </c:pt>
                <c:pt idx="13">
                  <c:v>0.000427643058025639</c:v>
                </c:pt>
                <c:pt idx="14">
                  <c:v>0.000384055525267342</c:v>
                </c:pt>
                <c:pt idx="15">
                  <c:v>0.000346238699177761</c:v>
                </c:pt>
                <c:pt idx="16">
                  <c:v>0.000313336174495316</c:v>
                </c:pt>
                <c:pt idx="17">
                  <c:v>0.000284612676485997</c:v>
                </c:pt>
                <c:pt idx="18">
                  <c:v>0.000259445167825326</c:v>
                </c:pt>
                <c:pt idx="19">
                  <c:v>0.000237309316975778</c:v>
                </c:pt>
              </c:numCache>
            </c:numRef>
          </c:yVal>
          <c:smooth val="1"/>
        </c:ser>
        <c:ser>
          <c:idx val="6"/>
          <c:order val="6"/>
          <c:tx>
            <c:v>400 dish ext</c:v>
          </c:tx>
          <c:spPr>
            <a:ln w="28575">
              <a:solidFill>
                <a:srgbClr val="3366FF"/>
              </a:solidFill>
              <a:prstDash val="dash"/>
            </a:ln>
          </c:spPr>
          <c:marker>
            <c:symbol val="none"/>
          </c:marker>
          <c:xVal>
            <c:numRef>
              <c:f>'fixed total cost'!$A$10:$A$19</c:f>
              <c:numCache>
                <c:formatCode>0.00</c:formatCode>
                <c:ptCount val="10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  <c:pt idx="5">
                  <c:v>12.0</c:v>
                </c:pt>
                <c:pt idx="6">
                  <c:v>14.0</c:v>
                </c:pt>
                <c:pt idx="7">
                  <c:v>16.0</c:v>
                </c:pt>
                <c:pt idx="8">
                  <c:v>18.0</c:v>
                </c:pt>
                <c:pt idx="9">
                  <c:v>20.0</c:v>
                </c:pt>
              </c:numCache>
            </c:numRef>
          </c:xVal>
          <c:yVal>
            <c:numRef>
              <c:f>'fixed total cost'!$E$10:$E$19</c:f>
              <c:numCache>
                <c:formatCode>0.0</c:formatCode>
                <c:ptCount val="10"/>
                <c:pt idx="0">
                  <c:v>0.0449626909631039</c:v>
                </c:pt>
                <c:pt idx="1">
                  <c:v>0.0521991314949303</c:v>
                </c:pt>
                <c:pt idx="2">
                  <c:v>0.0524962840406398</c:v>
                </c:pt>
                <c:pt idx="3">
                  <c:v>0.0501974522664226</c:v>
                </c:pt>
                <c:pt idx="4">
                  <c:v>0.0469799760643176</c:v>
                </c:pt>
                <c:pt idx="5">
                  <c:v>0.0435613615106679</c:v>
                </c:pt>
                <c:pt idx="6">
                  <c:v>0.0402510520300995</c:v>
                </c:pt>
                <c:pt idx="7">
                  <c:v>0.0371738514884912</c:v>
                </c:pt>
                <c:pt idx="8">
                  <c:v>0.0343690853338455</c:v>
                </c:pt>
                <c:pt idx="9">
                  <c:v>0.0318368126643338</c:v>
                </c:pt>
              </c:numCache>
            </c:numRef>
          </c:yVal>
          <c:smooth val="1"/>
        </c:ser>
        <c:ser>
          <c:idx val="7"/>
          <c:order val="7"/>
          <c:tx>
            <c:v>800 dish ext</c:v>
          </c:tx>
          <c:spPr>
            <a:ln w="28575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'fixed total cost'!$A$10:$A$13</c:f>
              <c:numCache>
                <c:formatCode>0.00</c:formatCode>
                <c:ptCount val="4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</c:numCache>
            </c:numRef>
          </c:xVal>
          <c:yVal>
            <c:numRef>
              <c:f>'fixed total cost'!$I$10:$I$13</c:f>
              <c:numCache>
                <c:formatCode>0.0</c:formatCode>
                <c:ptCount val="4"/>
                <c:pt idx="0">
                  <c:v>0.00722973955859602</c:v>
                </c:pt>
                <c:pt idx="1">
                  <c:v>0.00918505085242759</c:v>
                </c:pt>
                <c:pt idx="2">
                  <c:v>0.0100430887131488</c:v>
                </c:pt>
                <c:pt idx="3">
                  <c:v>0.0103428945607631</c:v>
                </c:pt>
              </c:numCache>
            </c:numRef>
          </c:yVal>
          <c:smooth val="1"/>
        </c:ser>
        <c:axId val="320559384"/>
        <c:axId val="320540616"/>
      </c:scatterChart>
      <c:valAx>
        <c:axId val="320559384"/>
        <c:scaling>
          <c:orientation val="minMax"/>
          <c:max val="30.0"/>
        </c:scaling>
        <c:axPos val="b"/>
        <c:numFmt formatCode="0.00" sourceLinked="1"/>
        <c:tickLblPos val="nextTo"/>
        <c:crossAx val="320540616"/>
        <c:crosses val="autoZero"/>
        <c:crossBetween val="midCat"/>
      </c:valAx>
      <c:valAx>
        <c:axId val="320540616"/>
        <c:scaling>
          <c:logBase val="10.0"/>
          <c:orientation val="minMax"/>
        </c:scaling>
        <c:axPos val="l"/>
        <c:majorGridlines/>
        <c:numFmt formatCode="0.00" sourceLinked="1"/>
        <c:tickLblPos val="nextTo"/>
        <c:crossAx val="3205593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plotArea>
      <c:layout>
        <c:manualLayout>
          <c:layoutTarget val="inner"/>
          <c:xMode val="edge"/>
          <c:yMode val="edge"/>
          <c:x val="0.0831924126691146"/>
          <c:y val="0.0357142857142857"/>
          <c:w val="0.601340153553125"/>
          <c:h val="0.799648950131234"/>
        </c:manualLayout>
      </c:layout>
      <c:scatterChart>
        <c:scatterStyle val="smoothMarker"/>
        <c:ser>
          <c:idx val="0"/>
          <c:order val="0"/>
          <c:tx>
            <c:v>400 MHz Ap Arr</c:v>
          </c:tx>
          <c:spPr>
            <a:ln>
              <a:noFill/>
            </a:ln>
          </c:spPr>
          <c:marker>
            <c:symbol val="x"/>
            <c:size val="5"/>
          </c:marker>
          <c:xVal>
            <c:numRef>
              <c:f>'fixed total cost'!$C$40:$C$56</c:f>
              <c:numCache>
                <c:formatCode>0.00</c:formatCode>
                <c:ptCount val="17"/>
                <c:pt idx="0">
                  <c:v>0.18</c:v>
                </c:pt>
                <c:pt idx="1">
                  <c:v>0.72</c:v>
                </c:pt>
                <c:pt idx="2">
                  <c:v>1.62</c:v>
                </c:pt>
                <c:pt idx="3">
                  <c:v>2.88</c:v>
                </c:pt>
                <c:pt idx="4">
                  <c:v>4.5</c:v>
                </c:pt>
                <c:pt idx="5">
                  <c:v>6.48</c:v>
                </c:pt>
                <c:pt idx="6">
                  <c:v>8.82</c:v>
                </c:pt>
                <c:pt idx="7">
                  <c:v>11.52</c:v>
                </c:pt>
                <c:pt idx="8">
                  <c:v>14.58</c:v>
                </c:pt>
                <c:pt idx="9">
                  <c:v>18.0</c:v>
                </c:pt>
                <c:pt idx="10">
                  <c:v>21.78</c:v>
                </c:pt>
                <c:pt idx="11">
                  <c:v>25.92</c:v>
                </c:pt>
                <c:pt idx="12">
                  <c:v>30.42</c:v>
                </c:pt>
                <c:pt idx="13">
                  <c:v>35.28</c:v>
                </c:pt>
                <c:pt idx="14">
                  <c:v>40.5</c:v>
                </c:pt>
                <c:pt idx="15">
                  <c:v>46.08</c:v>
                </c:pt>
                <c:pt idx="16">
                  <c:v>52.02</c:v>
                </c:pt>
              </c:numCache>
            </c:numRef>
          </c:xVal>
          <c:yVal>
            <c:numRef>
              <c:f>'fixed total cost'!$D$40:$D$56</c:f>
              <c:numCache>
                <c:formatCode>0.00</c:formatCode>
                <c:ptCount val="17"/>
                <c:pt idx="0">
                  <c:v>0.0135480921248166</c:v>
                </c:pt>
                <c:pt idx="1">
                  <c:v>0.0183202035881376</c:v>
                </c:pt>
                <c:pt idx="2">
                  <c:v>0.0169003926671422</c:v>
                </c:pt>
                <c:pt idx="3">
                  <c:v>0.013786931453774</c:v>
                </c:pt>
                <c:pt idx="4">
                  <c:v>0.0108767893127774</c:v>
                </c:pt>
                <c:pt idx="5">
                  <c:v>0.0085777757759613</c:v>
                </c:pt>
                <c:pt idx="6">
                  <c:v>0.00684228892841021</c:v>
                </c:pt>
                <c:pt idx="7">
                  <c:v>0.00553981918684417</c:v>
                </c:pt>
                <c:pt idx="8">
                  <c:v>0.00455380282377596</c:v>
                </c:pt>
                <c:pt idx="9">
                  <c:v>0.00379694907161245</c:v>
                </c:pt>
                <c:pt idx="10">
                  <c:v>0.00320710119567076</c:v>
                </c:pt>
                <c:pt idx="11">
                  <c:v>0.00274047792207982</c:v>
                </c:pt>
                <c:pt idx="12">
                  <c:v>0.00236609963862773</c:v>
                </c:pt>
                <c:pt idx="13">
                  <c:v>0.00206180282688077</c:v>
                </c:pt>
                <c:pt idx="14">
                  <c:v>0.00181151544036321</c:v>
                </c:pt>
                <c:pt idx="15">
                  <c:v>0.00160341576294046</c:v>
                </c:pt>
                <c:pt idx="16">
                  <c:v>0.00142868525747698</c:v>
                </c:pt>
              </c:numCache>
            </c:numRef>
          </c:yVal>
          <c:smooth val="1"/>
        </c:ser>
        <c:ser>
          <c:idx val="1"/>
          <c:order val="1"/>
          <c:tx>
            <c:v>800 MHZ Ap Arr</c:v>
          </c:tx>
          <c:spPr>
            <a:ln w="28575">
              <a:noFill/>
            </a:ln>
          </c:spPr>
          <c:marker>
            <c:symbol val="x"/>
            <c:size val="7"/>
          </c:marker>
          <c:xVal>
            <c:numRef>
              <c:f>'fixed total cost'!$C$68:$C$85</c:f>
              <c:numCache>
                <c:formatCode>0.00</c:formatCode>
                <c:ptCount val="18"/>
                <c:pt idx="0">
                  <c:v>0.045</c:v>
                </c:pt>
                <c:pt idx="1">
                  <c:v>0.18</c:v>
                </c:pt>
                <c:pt idx="2">
                  <c:v>0.405</c:v>
                </c:pt>
                <c:pt idx="3">
                  <c:v>0.72</c:v>
                </c:pt>
                <c:pt idx="4">
                  <c:v>1.125</c:v>
                </c:pt>
                <c:pt idx="5">
                  <c:v>1.62</c:v>
                </c:pt>
                <c:pt idx="6">
                  <c:v>2.205</c:v>
                </c:pt>
                <c:pt idx="7">
                  <c:v>2.88</c:v>
                </c:pt>
                <c:pt idx="8">
                  <c:v>3.645</c:v>
                </c:pt>
                <c:pt idx="9">
                  <c:v>4.5</c:v>
                </c:pt>
                <c:pt idx="10">
                  <c:v>5.444999999999999</c:v>
                </c:pt>
                <c:pt idx="11">
                  <c:v>6.48</c:v>
                </c:pt>
                <c:pt idx="12">
                  <c:v>7.604999999999999</c:v>
                </c:pt>
                <c:pt idx="13">
                  <c:v>8.82</c:v>
                </c:pt>
                <c:pt idx="14">
                  <c:v>10.125</c:v>
                </c:pt>
                <c:pt idx="15">
                  <c:v>11.52</c:v>
                </c:pt>
                <c:pt idx="16">
                  <c:v>13.005</c:v>
                </c:pt>
                <c:pt idx="17">
                  <c:v>14.58</c:v>
                </c:pt>
              </c:numCache>
            </c:numRef>
          </c:xVal>
          <c:yVal>
            <c:numRef>
              <c:f>'fixed total cost'!$D$68:$D$85</c:f>
              <c:numCache>
                <c:formatCode>0.00</c:formatCode>
                <c:ptCount val="18"/>
                <c:pt idx="0">
                  <c:v>0.00258525977113939</c:v>
                </c:pt>
                <c:pt idx="1">
                  <c:v>0.00415540304728142</c:v>
                </c:pt>
                <c:pt idx="2">
                  <c:v>0.00459173416402405</c:v>
                </c:pt>
                <c:pt idx="3">
                  <c:v>0.00433873316836466</c:v>
                </c:pt>
                <c:pt idx="4">
                  <c:v>0.00381759426339316</c:v>
                </c:pt>
                <c:pt idx="5">
                  <c:v>0.00325813412831264</c:v>
                </c:pt>
                <c:pt idx="6">
                  <c:v>0.00275224463872781</c:v>
                </c:pt>
                <c:pt idx="7">
                  <c:v>0.00232430446772753</c:v>
                </c:pt>
                <c:pt idx="8">
                  <c:v>0.00197189742747433</c:v>
                </c:pt>
                <c:pt idx="9">
                  <c:v>0.00168424114857778</c:v>
                </c:pt>
                <c:pt idx="10">
                  <c:v>0.00144944665269674</c:v>
                </c:pt>
                <c:pt idx="11">
                  <c:v>0.00125696685751306</c:v>
                </c:pt>
                <c:pt idx="12">
                  <c:v>0.00109815437711222</c:v>
                </c:pt>
                <c:pt idx="13">
                  <c:v>0.000966150760786025</c:v>
                </c:pt>
                <c:pt idx="14">
                  <c:v>0.000855588414034159</c:v>
                </c:pt>
                <c:pt idx="15">
                  <c:v>0.000762281171206326</c:v>
                </c:pt>
                <c:pt idx="16">
                  <c:v>0.000682958696267886</c:v>
                </c:pt>
                <c:pt idx="17">
                  <c:v>0.000615054559958288</c:v>
                </c:pt>
              </c:numCache>
            </c:numRef>
          </c:yVal>
          <c:smooth val="1"/>
        </c:ser>
        <c:ser>
          <c:idx val="3"/>
          <c:order val="2"/>
          <c:tx>
            <c:v>400 MHz Dish Arr</c:v>
          </c:tx>
          <c:spPr>
            <a:ln w="28575">
              <a:solidFill>
                <a:srgbClr val="3366FF"/>
              </a:solidFill>
            </a:ln>
          </c:spPr>
          <c:marker>
            <c:symbol val="none"/>
          </c:marker>
          <c:xVal>
            <c:numRef>
              <c:f>'fixed total cost'!$A$19:$A$34</c:f>
              <c:numCache>
                <c:formatCode>0.00</c:formatCode>
                <c:ptCount val="16"/>
                <c:pt idx="0">
                  <c:v>20.0</c:v>
                </c:pt>
                <c:pt idx="1">
                  <c:v>22.0</c:v>
                </c:pt>
                <c:pt idx="2">
                  <c:v>24.0</c:v>
                </c:pt>
                <c:pt idx="3">
                  <c:v>26.0</c:v>
                </c:pt>
                <c:pt idx="4">
                  <c:v>28.0</c:v>
                </c:pt>
                <c:pt idx="5">
                  <c:v>30.0</c:v>
                </c:pt>
                <c:pt idx="6">
                  <c:v>32.0</c:v>
                </c:pt>
                <c:pt idx="7">
                  <c:v>34.0</c:v>
                </c:pt>
                <c:pt idx="8">
                  <c:v>36.0</c:v>
                </c:pt>
                <c:pt idx="9">
                  <c:v>38.0</c:v>
                </c:pt>
                <c:pt idx="10">
                  <c:v>40.0</c:v>
                </c:pt>
                <c:pt idx="11">
                  <c:v>42.0</c:v>
                </c:pt>
                <c:pt idx="12">
                  <c:v>44.0</c:v>
                </c:pt>
                <c:pt idx="13">
                  <c:v>46.0</c:v>
                </c:pt>
                <c:pt idx="14">
                  <c:v>48.0</c:v>
                </c:pt>
                <c:pt idx="15">
                  <c:v>50.0</c:v>
                </c:pt>
              </c:numCache>
            </c:numRef>
          </c:xVal>
          <c:yVal>
            <c:numRef>
              <c:f>'fixed total cost'!$E$19:$E$34</c:f>
              <c:numCache>
                <c:formatCode>0.0</c:formatCode>
                <c:ptCount val="16"/>
                <c:pt idx="0">
                  <c:v>0.0318368126643338</c:v>
                </c:pt>
                <c:pt idx="1">
                  <c:v>0.0295599577267872</c:v>
                </c:pt>
                <c:pt idx="2">
                  <c:v>0.0275150199623474</c:v>
                </c:pt>
                <c:pt idx="3">
                  <c:v>0.0256772109155544</c:v>
                </c:pt>
                <c:pt idx="4">
                  <c:v>0.0240228236741491</c:v>
                </c:pt>
                <c:pt idx="5">
                  <c:v>0.0225302193523753</c:v>
                </c:pt>
                <c:pt idx="6">
                  <c:v>0.021180127979715</c:v>
                </c:pt>
                <c:pt idx="7">
                  <c:v>0.0199556196346477</c:v>
                </c:pt>
                <c:pt idx="8">
                  <c:v>0.0188419282035335</c:v>
                </c:pt>
                <c:pt idx="9">
                  <c:v>0.0178262206108313</c:v>
                </c:pt>
                <c:pt idx="10">
                  <c:v>0.016897357674012</c:v>
                </c:pt>
                <c:pt idx="11">
                  <c:v>0.0160456683020394</c:v>
                </c:pt>
                <c:pt idx="12">
                  <c:v>0.0152627460411706</c:v>
                </c:pt>
                <c:pt idx="13">
                  <c:v>0.0145412704799979</c:v>
                </c:pt>
                <c:pt idx="14">
                  <c:v>0.0138748528479654</c:v>
                </c:pt>
                <c:pt idx="15">
                  <c:v>0.0132579037207244</c:v>
                </c:pt>
              </c:numCache>
            </c:numRef>
          </c:yVal>
          <c:smooth val="1"/>
        </c:ser>
        <c:ser>
          <c:idx val="4"/>
          <c:order val="3"/>
          <c:tx>
            <c:v>800 MHz Dish Arr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'fixed total cost'!$A$13:$A$34</c:f>
              <c:numCache>
                <c:formatCode>0.00</c:formatCode>
                <c:ptCount val="22"/>
                <c:pt idx="0">
                  <c:v>8.0</c:v>
                </c:pt>
                <c:pt idx="1">
                  <c:v>10.0</c:v>
                </c:pt>
                <c:pt idx="2">
                  <c:v>12.0</c:v>
                </c:pt>
                <c:pt idx="3">
                  <c:v>14.0</c:v>
                </c:pt>
                <c:pt idx="4">
                  <c:v>16.0</c:v>
                </c:pt>
                <c:pt idx="5">
                  <c:v>18.0</c:v>
                </c:pt>
                <c:pt idx="6">
                  <c:v>20.0</c:v>
                </c:pt>
                <c:pt idx="7">
                  <c:v>22.0</c:v>
                </c:pt>
                <c:pt idx="8">
                  <c:v>24.0</c:v>
                </c:pt>
                <c:pt idx="9">
                  <c:v>26.0</c:v>
                </c:pt>
                <c:pt idx="10">
                  <c:v>28.0</c:v>
                </c:pt>
                <c:pt idx="11">
                  <c:v>30.0</c:v>
                </c:pt>
                <c:pt idx="12">
                  <c:v>32.0</c:v>
                </c:pt>
                <c:pt idx="13">
                  <c:v>34.0</c:v>
                </c:pt>
                <c:pt idx="14">
                  <c:v>36.0</c:v>
                </c:pt>
                <c:pt idx="15">
                  <c:v>38.0</c:v>
                </c:pt>
                <c:pt idx="16">
                  <c:v>40.0</c:v>
                </c:pt>
                <c:pt idx="17">
                  <c:v>42.0</c:v>
                </c:pt>
                <c:pt idx="18">
                  <c:v>44.0</c:v>
                </c:pt>
                <c:pt idx="19">
                  <c:v>46.0</c:v>
                </c:pt>
                <c:pt idx="20">
                  <c:v>48.0</c:v>
                </c:pt>
                <c:pt idx="21">
                  <c:v>50.0</c:v>
                </c:pt>
              </c:numCache>
            </c:numRef>
          </c:xVal>
          <c:yVal>
            <c:numRef>
              <c:f>'fixed total cost'!$I$13:$I$34</c:f>
              <c:numCache>
                <c:formatCode>0.0</c:formatCode>
                <c:ptCount val="22"/>
                <c:pt idx="0">
                  <c:v>0.0103428945607631</c:v>
                </c:pt>
                <c:pt idx="1">
                  <c:v>0.0103283350902921</c:v>
                </c:pt>
                <c:pt idx="2">
                  <c:v>0.0101326559263286</c:v>
                </c:pt>
                <c:pt idx="3">
                  <c:v>0.00983424542541836</c:v>
                </c:pt>
                <c:pt idx="4">
                  <c:v>0.00948083673991498</c:v>
                </c:pt>
                <c:pt idx="5">
                  <c:v>0.00910195712558737</c:v>
                </c:pt>
                <c:pt idx="6">
                  <c:v>0.00871593557050715</c:v>
                </c:pt>
                <c:pt idx="7">
                  <c:v>0.00833406107442176</c:v>
                </c:pt>
                <c:pt idx="8">
                  <c:v>0.00796313516035399</c:v>
                </c:pt>
                <c:pt idx="9">
                  <c:v>0.0076070758813341</c:v>
                </c:pt>
                <c:pt idx="10">
                  <c:v>0.00726794315467285</c:v>
                </c:pt>
                <c:pt idx="11">
                  <c:v>0.00694660258490515</c:v>
                </c:pt>
                <c:pt idx="12">
                  <c:v>0.0066431592715159</c:v>
                </c:pt>
                <c:pt idx="13">
                  <c:v>0.00635724311355861</c:v>
                </c:pt>
                <c:pt idx="14">
                  <c:v>0.00608819709273559</c:v>
                </c:pt>
                <c:pt idx="15">
                  <c:v>0.00583520155544736</c:v>
                </c:pt>
                <c:pt idx="16">
                  <c:v>0.00559735595103697</c:v>
                </c:pt>
                <c:pt idx="17">
                  <c:v>0.00537373212555331</c:v>
                </c:pt>
                <c:pt idx="18">
                  <c:v>0.00516340852435556</c:v>
                </c:pt>
                <c:pt idx="19">
                  <c:v>0.00496549155900939</c:v>
                </c:pt>
                <c:pt idx="20">
                  <c:v>0.00477912835052809</c:v>
                </c:pt>
                <c:pt idx="21">
                  <c:v>0.00460351370059748</c:v>
                </c:pt>
              </c:numCache>
            </c:numRef>
          </c:yVal>
          <c:smooth val="1"/>
        </c:ser>
        <c:ser>
          <c:idx val="5"/>
          <c:order val="4"/>
          <c:tx>
            <c:v>1600 MHz Dish Arr</c:v>
          </c:tx>
          <c:spPr>
            <a:ln w="28575">
              <a:solidFill>
                <a:srgbClr val="008000"/>
              </a:solidFill>
            </a:ln>
          </c:spPr>
          <c:marker>
            <c:symbol val="none"/>
          </c:marker>
          <c:xVal>
            <c:numRef>
              <c:f>'fixed total cost'!$A$10:$A$34</c:f>
              <c:numCache>
                <c:formatCode>0.00</c:formatCode>
                <c:ptCount val="25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  <c:pt idx="5">
                  <c:v>12.0</c:v>
                </c:pt>
                <c:pt idx="6">
                  <c:v>14.0</c:v>
                </c:pt>
                <c:pt idx="7">
                  <c:v>16.0</c:v>
                </c:pt>
                <c:pt idx="8">
                  <c:v>18.0</c:v>
                </c:pt>
                <c:pt idx="9">
                  <c:v>20.0</c:v>
                </c:pt>
                <c:pt idx="10">
                  <c:v>22.0</c:v>
                </c:pt>
                <c:pt idx="11">
                  <c:v>24.0</c:v>
                </c:pt>
                <c:pt idx="12">
                  <c:v>26.0</c:v>
                </c:pt>
                <c:pt idx="13">
                  <c:v>28.0</c:v>
                </c:pt>
                <c:pt idx="14">
                  <c:v>30.0</c:v>
                </c:pt>
                <c:pt idx="15">
                  <c:v>32.0</c:v>
                </c:pt>
                <c:pt idx="16">
                  <c:v>34.0</c:v>
                </c:pt>
                <c:pt idx="17">
                  <c:v>36.0</c:v>
                </c:pt>
                <c:pt idx="18">
                  <c:v>38.0</c:v>
                </c:pt>
                <c:pt idx="19">
                  <c:v>40.0</c:v>
                </c:pt>
                <c:pt idx="20">
                  <c:v>42.0</c:v>
                </c:pt>
                <c:pt idx="21">
                  <c:v>44.0</c:v>
                </c:pt>
                <c:pt idx="22">
                  <c:v>46.0</c:v>
                </c:pt>
                <c:pt idx="23">
                  <c:v>48.0</c:v>
                </c:pt>
                <c:pt idx="24">
                  <c:v>50.0</c:v>
                </c:pt>
              </c:numCache>
            </c:numRef>
          </c:xVal>
          <c:yVal>
            <c:numRef>
              <c:f>'fixed total cost'!$M$10:$M$34</c:f>
              <c:numCache>
                <c:formatCode>0.0</c:formatCode>
                <c:ptCount val="25"/>
                <c:pt idx="0">
                  <c:v>0.00111952889013813</c:v>
                </c:pt>
                <c:pt idx="1">
                  <c:v>0.00149697392662675</c:v>
                </c:pt>
                <c:pt idx="2">
                  <c:v>0.00172428357548151</c:v>
                </c:pt>
                <c:pt idx="3">
                  <c:v>0.00186748861209467</c:v>
                </c:pt>
                <c:pt idx="4">
                  <c:v>0.00195583609175333</c:v>
                </c:pt>
                <c:pt idx="5">
                  <c:v>0.00200611145442186</c:v>
                </c:pt>
                <c:pt idx="6">
                  <c:v>0.00202916207221596</c:v>
                </c:pt>
                <c:pt idx="7">
                  <c:v>0.00203245909236276</c:v>
                </c:pt>
                <c:pt idx="8">
                  <c:v>0.00202134486862588</c:v>
                </c:pt>
                <c:pt idx="9">
                  <c:v>0.001999730407169</c:v>
                </c:pt>
                <c:pt idx="10">
                  <c:v>0.00197052325529039</c:v>
                </c:pt>
                <c:pt idx="11">
                  <c:v>0.00193590728475826</c:v>
                </c:pt>
                <c:pt idx="12">
                  <c:v>0.00189753396494279</c:v>
                </c:pt>
                <c:pt idx="13">
                  <c:v>0.00185665735236079</c:v>
                </c:pt>
                <c:pt idx="14">
                  <c:v>0.00181423160372211</c:v>
                </c:pt>
                <c:pt idx="15">
                  <c:v>0.00177098266230595</c:v>
                </c:pt>
                <c:pt idx="16">
                  <c:v>0.00172746167681225</c:v>
                </c:pt>
                <c:pt idx="17">
                  <c:v>0.00168408523774574</c:v>
                </c:pt>
                <c:pt idx="18">
                  <c:v>0.0016411659497799</c:v>
                </c:pt>
                <c:pt idx="19">
                  <c:v>0.00159893582920149</c:v>
                </c:pt>
                <c:pt idx="20">
                  <c:v>0.00155756431880548</c:v>
                </c:pt>
                <c:pt idx="21">
                  <c:v>0.00151717222958961</c:v>
                </c:pt>
                <c:pt idx="22">
                  <c:v>0.00147784257716651</c:v>
                </c:pt>
                <c:pt idx="23">
                  <c:v>0.00143962903558857</c:v>
                </c:pt>
                <c:pt idx="24">
                  <c:v>0.00140256255280803</c:v>
                </c:pt>
              </c:numCache>
            </c:numRef>
          </c:yVal>
          <c:smooth val="1"/>
        </c:ser>
        <c:ser>
          <c:idx val="2"/>
          <c:order val="5"/>
          <c:tx>
            <c:v>1600 MHz Ap Arr</c:v>
          </c:tx>
          <c:spPr>
            <a:ln w="28575">
              <a:noFill/>
            </a:ln>
          </c:spPr>
          <c:marker>
            <c:symbol val="x"/>
            <c:size val="7"/>
            <c:spPr>
              <a:noFill/>
            </c:spPr>
          </c:marker>
          <c:xVal>
            <c:numRef>
              <c:f>'fixed total cost'!$C$102:$C$121</c:f>
              <c:numCache>
                <c:formatCode>0.00</c:formatCode>
                <c:ptCount val="20"/>
                <c:pt idx="0">
                  <c:v>0.01125</c:v>
                </c:pt>
                <c:pt idx="1">
                  <c:v>0.045</c:v>
                </c:pt>
                <c:pt idx="2">
                  <c:v>0.10125</c:v>
                </c:pt>
                <c:pt idx="3">
                  <c:v>0.18</c:v>
                </c:pt>
                <c:pt idx="4">
                  <c:v>0.28125</c:v>
                </c:pt>
                <c:pt idx="5">
                  <c:v>0.405</c:v>
                </c:pt>
                <c:pt idx="6">
                  <c:v>0.55125</c:v>
                </c:pt>
                <c:pt idx="7">
                  <c:v>0.72</c:v>
                </c:pt>
                <c:pt idx="8">
                  <c:v>0.91125</c:v>
                </c:pt>
                <c:pt idx="9">
                  <c:v>1.125</c:v>
                </c:pt>
                <c:pt idx="10">
                  <c:v>1.36125</c:v>
                </c:pt>
                <c:pt idx="11">
                  <c:v>1.62</c:v>
                </c:pt>
                <c:pt idx="12">
                  <c:v>1.90125</c:v>
                </c:pt>
                <c:pt idx="13">
                  <c:v>2.205</c:v>
                </c:pt>
                <c:pt idx="14">
                  <c:v>2.53125</c:v>
                </c:pt>
                <c:pt idx="15">
                  <c:v>2.88</c:v>
                </c:pt>
                <c:pt idx="16">
                  <c:v>3.25125</c:v>
                </c:pt>
                <c:pt idx="17">
                  <c:v>3.645</c:v>
                </c:pt>
                <c:pt idx="18">
                  <c:v>4.06125</c:v>
                </c:pt>
                <c:pt idx="19">
                  <c:v>4.5</c:v>
                </c:pt>
              </c:numCache>
            </c:numRef>
          </c:xVal>
          <c:yVal>
            <c:numRef>
              <c:f>'fixed total cost'!$D$102:$D$121</c:f>
              <c:numCache>
                <c:formatCode>0.00</c:formatCode>
                <c:ptCount val="20"/>
                <c:pt idx="0">
                  <c:v>0.000475539505126147</c:v>
                </c:pt>
                <c:pt idx="1">
                  <c:v>0.000846755757801035</c:v>
                </c:pt>
                <c:pt idx="2">
                  <c:v>0.00106554477508158</c:v>
                </c:pt>
                <c:pt idx="3">
                  <c:v>0.0011450127242586</c:v>
                </c:pt>
                <c:pt idx="4">
                  <c:v>0.00112769588502356</c:v>
                </c:pt>
                <c:pt idx="5">
                  <c:v>0.00105627454169639</c:v>
                </c:pt>
                <c:pt idx="6">
                  <c:v>0.000961479046069388</c:v>
                </c:pt>
                <c:pt idx="7">
                  <c:v>0.000861683215860876</c:v>
                </c:pt>
                <c:pt idx="8">
                  <c:v>0.000766404690661816</c:v>
                </c:pt>
                <c:pt idx="9">
                  <c:v>0.00067979933204859</c:v>
                </c:pt>
                <c:pt idx="10">
                  <c:v>0.000603104654839552</c:v>
                </c:pt>
                <c:pt idx="11">
                  <c:v>0.000536110985997582</c:v>
                </c:pt>
                <c:pt idx="12">
                  <c:v>0.00047797513337613</c:v>
                </c:pt>
                <c:pt idx="13">
                  <c:v>0.000427643058025639</c:v>
                </c:pt>
                <c:pt idx="14">
                  <c:v>0.000384055525267342</c:v>
                </c:pt>
                <c:pt idx="15">
                  <c:v>0.000346238699177761</c:v>
                </c:pt>
                <c:pt idx="16">
                  <c:v>0.000313336174495316</c:v>
                </c:pt>
                <c:pt idx="17">
                  <c:v>0.000284612676485997</c:v>
                </c:pt>
                <c:pt idx="18">
                  <c:v>0.000259445167825326</c:v>
                </c:pt>
                <c:pt idx="19">
                  <c:v>0.000237309316975778</c:v>
                </c:pt>
              </c:numCache>
            </c:numRef>
          </c:yVal>
          <c:smooth val="1"/>
        </c:ser>
        <c:ser>
          <c:idx val="6"/>
          <c:order val="6"/>
          <c:tx>
            <c:v>400 dish ext</c:v>
          </c:tx>
          <c:spPr>
            <a:ln w="28575">
              <a:solidFill>
                <a:srgbClr val="3366FF"/>
              </a:solidFill>
              <a:prstDash val="dash"/>
            </a:ln>
          </c:spPr>
          <c:marker>
            <c:symbol val="none"/>
          </c:marker>
          <c:xVal>
            <c:numRef>
              <c:f>'fixed total cost'!$A$10:$A$19</c:f>
              <c:numCache>
                <c:formatCode>0.00</c:formatCode>
                <c:ptCount val="10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  <c:pt idx="5">
                  <c:v>12.0</c:v>
                </c:pt>
                <c:pt idx="6">
                  <c:v>14.0</c:v>
                </c:pt>
                <c:pt idx="7">
                  <c:v>16.0</c:v>
                </c:pt>
                <c:pt idx="8">
                  <c:v>18.0</c:v>
                </c:pt>
                <c:pt idx="9">
                  <c:v>20.0</c:v>
                </c:pt>
              </c:numCache>
            </c:numRef>
          </c:xVal>
          <c:yVal>
            <c:numRef>
              <c:f>'fixed total cost'!$E$10:$E$19</c:f>
              <c:numCache>
                <c:formatCode>0.0</c:formatCode>
                <c:ptCount val="10"/>
                <c:pt idx="0">
                  <c:v>0.0449626909631039</c:v>
                </c:pt>
                <c:pt idx="1">
                  <c:v>0.0521991314949303</c:v>
                </c:pt>
                <c:pt idx="2">
                  <c:v>0.0524962840406398</c:v>
                </c:pt>
                <c:pt idx="3">
                  <c:v>0.0501974522664226</c:v>
                </c:pt>
                <c:pt idx="4">
                  <c:v>0.0469799760643176</c:v>
                </c:pt>
                <c:pt idx="5">
                  <c:v>0.0435613615106679</c:v>
                </c:pt>
                <c:pt idx="6">
                  <c:v>0.0402510520300995</c:v>
                </c:pt>
                <c:pt idx="7">
                  <c:v>0.0371738514884912</c:v>
                </c:pt>
                <c:pt idx="8">
                  <c:v>0.0343690853338455</c:v>
                </c:pt>
                <c:pt idx="9">
                  <c:v>0.0318368126643338</c:v>
                </c:pt>
              </c:numCache>
            </c:numRef>
          </c:yVal>
          <c:smooth val="1"/>
        </c:ser>
        <c:ser>
          <c:idx val="7"/>
          <c:order val="7"/>
          <c:tx>
            <c:v>800 dish ext</c:v>
          </c:tx>
          <c:spPr>
            <a:ln w="28575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'fixed total cost'!$A$10:$A$13</c:f>
              <c:numCache>
                <c:formatCode>0.00</c:formatCode>
                <c:ptCount val="4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</c:numCache>
            </c:numRef>
          </c:xVal>
          <c:yVal>
            <c:numRef>
              <c:f>'fixed total cost'!$I$10:$I$13</c:f>
              <c:numCache>
                <c:formatCode>0.0</c:formatCode>
                <c:ptCount val="4"/>
                <c:pt idx="0">
                  <c:v>0.00722973955859602</c:v>
                </c:pt>
                <c:pt idx="1">
                  <c:v>0.00918505085242759</c:v>
                </c:pt>
                <c:pt idx="2">
                  <c:v>0.0100430887131488</c:v>
                </c:pt>
                <c:pt idx="3">
                  <c:v>0.0103428945607631</c:v>
                </c:pt>
              </c:numCache>
            </c:numRef>
          </c:yVal>
          <c:smooth val="1"/>
        </c:ser>
        <c:ser>
          <c:idx val="8"/>
          <c:order val="8"/>
          <c:tx>
            <c:v>Fut 400 MHz Array</c:v>
          </c:tx>
          <c:spPr>
            <a:ln w="28575">
              <a:noFill/>
            </a:ln>
          </c:spPr>
          <c:marker>
            <c:symbol val="circle"/>
            <c:size val="7"/>
            <c:spPr>
              <a:noFill/>
              <a:ln>
                <a:solidFill>
                  <a:srgbClr val="3366FF"/>
                </a:solidFill>
              </a:ln>
            </c:spPr>
          </c:marker>
          <c:xVal>
            <c:numRef>
              <c:f>'fixed total cost'!$C$154:$C$185</c:f>
              <c:numCache>
                <c:formatCode>General</c:formatCode>
                <c:ptCount val="32"/>
                <c:pt idx="0">
                  <c:v>0.18</c:v>
                </c:pt>
                <c:pt idx="1">
                  <c:v>0.72</c:v>
                </c:pt>
                <c:pt idx="2">
                  <c:v>1.62</c:v>
                </c:pt>
                <c:pt idx="3">
                  <c:v>2.88</c:v>
                </c:pt>
                <c:pt idx="4">
                  <c:v>4.5</c:v>
                </c:pt>
                <c:pt idx="5">
                  <c:v>6.48</c:v>
                </c:pt>
                <c:pt idx="6">
                  <c:v>8.82</c:v>
                </c:pt>
                <c:pt idx="7">
                  <c:v>11.52</c:v>
                </c:pt>
                <c:pt idx="8">
                  <c:v>14.58</c:v>
                </c:pt>
                <c:pt idx="9">
                  <c:v>18.0</c:v>
                </c:pt>
                <c:pt idx="10">
                  <c:v>21.78</c:v>
                </c:pt>
                <c:pt idx="11">
                  <c:v>25.92</c:v>
                </c:pt>
                <c:pt idx="12">
                  <c:v>30.42</c:v>
                </c:pt>
                <c:pt idx="13">
                  <c:v>35.28</c:v>
                </c:pt>
                <c:pt idx="14">
                  <c:v>40.5</c:v>
                </c:pt>
                <c:pt idx="15">
                  <c:v>46.08</c:v>
                </c:pt>
                <c:pt idx="16">
                  <c:v>52.02</c:v>
                </c:pt>
                <c:pt idx="17">
                  <c:v>58.32</c:v>
                </c:pt>
                <c:pt idx="18">
                  <c:v>64.98</c:v>
                </c:pt>
                <c:pt idx="19">
                  <c:v>72.0</c:v>
                </c:pt>
                <c:pt idx="20">
                  <c:v>79.38</c:v>
                </c:pt>
                <c:pt idx="21">
                  <c:v>87.12</c:v>
                </c:pt>
                <c:pt idx="22">
                  <c:v>95.22</c:v>
                </c:pt>
                <c:pt idx="23">
                  <c:v>103.68</c:v>
                </c:pt>
                <c:pt idx="24">
                  <c:v>112.5</c:v>
                </c:pt>
                <c:pt idx="25">
                  <c:v>121.68</c:v>
                </c:pt>
                <c:pt idx="26">
                  <c:v>131.22</c:v>
                </c:pt>
                <c:pt idx="27">
                  <c:v>141.12</c:v>
                </c:pt>
                <c:pt idx="28">
                  <c:v>151.38</c:v>
                </c:pt>
                <c:pt idx="29">
                  <c:v>162.0</c:v>
                </c:pt>
                <c:pt idx="30">
                  <c:v>172.98</c:v>
                </c:pt>
                <c:pt idx="31">
                  <c:v>184.32</c:v>
                </c:pt>
              </c:numCache>
            </c:numRef>
          </c:xVal>
          <c:yVal>
            <c:numRef>
              <c:f>'fixed total cost'!$G$154:$G$185</c:f>
              <c:numCache>
                <c:formatCode>0.0</c:formatCode>
                <c:ptCount val="32"/>
                <c:pt idx="0">
                  <c:v>0.0332432243782513</c:v>
                </c:pt>
                <c:pt idx="1">
                  <c:v>0.0347098653469173</c:v>
                </c:pt>
                <c:pt idx="2">
                  <c:v>0.0260650730265011</c:v>
                </c:pt>
                <c:pt idx="3">
                  <c:v>0.0185944357418203</c:v>
                </c:pt>
                <c:pt idx="4">
                  <c:v>0.0134739291886222</c:v>
                </c:pt>
                <c:pt idx="5">
                  <c:v>0.0100557348601045</c:v>
                </c:pt>
                <c:pt idx="6">
                  <c:v>0.00772920608628821</c:v>
                </c:pt>
                <c:pt idx="7">
                  <c:v>0.00609824936965061</c:v>
                </c:pt>
                <c:pt idx="8">
                  <c:v>0.0049204364796663</c:v>
                </c:pt>
                <c:pt idx="9">
                  <c:v>0.00404649736867381</c:v>
                </c:pt>
                <c:pt idx="10">
                  <c:v>0.0033823105503306</c:v>
                </c:pt>
                <c:pt idx="11">
                  <c:v>0.00286683793316977</c:v>
                </c:pt>
                <c:pt idx="12">
                  <c:v>0.00245937933038094</c:v>
                </c:pt>
                <c:pt idx="13">
                  <c:v>0.00213208100270272</c:v>
                </c:pt>
                <c:pt idx="14">
                  <c:v>0.00186542297327882</c:v>
                </c:pt>
                <c:pt idx="15">
                  <c:v>0.00164542872222599</c:v>
                </c:pt>
                <c:pt idx="16">
                  <c:v>0.001461895259009</c:v>
                </c:pt>
                <c:pt idx="17">
                  <c:v>0.00130724307638189</c:v>
                </c:pt>
                <c:pt idx="18">
                  <c:v>0.00117575200133513</c:v>
                </c:pt>
                <c:pt idx="19">
                  <c:v>0.00106304289732623</c:v>
                </c:pt>
                <c:pt idx="20">
                  <c:v>0.000965719410829091</c:v>
                </c:pt>
                <c:pt idx="21">
                  <c:v>0.000881116007802719</c:v>
                </c:pt>
                <c:pt idx="22">
                  <c:v>0.000807117917447608</c:v>
                </c:pt>
                <c:pt idx="23">
                  <c:v>0.000742030560770707</c:v>
                </c:pt>
                <c:pt idx="24">
                  <c:v>0.000684483575306842</c:v>
                </c:pt>
                <c:pt idx="25">
                  <c:v>0.000633359382935176</c:v>
                </c:pt>
                <c:pt idx="26">
                  <c:v>0.000587739406369414</c:v>
                </c:pt>
                <c:pt idx="27">
                  <c:v>0.000546863137194555</c:v>
                </c:pt>
                <c:pt idx="28">
                  <c:v>0.000510096672337546</c:v>
                </c:pt>
                <c:pt idx="29">
                  <c:v>0.000476908302903794</c:v>
                </c:pt>
                <c:pt idx="30">
                  <c:v>0.000446849409558283</c:v>
                </c:pt>
                <c:pt idx="31">
                  <c:v>0.000419539389010735</c:v>
                </c:pt>
              </c:numCache>
            </c:numRef>
          </c:yVal>
          <c:smooth val="1"/>
        </c:ser>
        <c:axId val="320200488"/>
        <c:axId val="320181208"/>
      </c:scatterChart>
      <c:valAx>
        <c:axId val="320200488"/>
        <c:scaling>
          <c:orientation val="minMax"/>
          <c:max val="30.0"/>
        </c:scaling>
        <c:axPos val="b"/>
        <c:numFmt formatCode="0.00" sourceLinked="1"/>
        <c:tickLblPos val="nextTo"/>
        <c:crossAx val="320181208"/>
        <c:crosses val="autoZero"/>
        <c:crossBetween val="midCat"/>
      </c:valAx>
      <c:valAx>
        <c:axId val="320181208"/>
        <c:scaling>
          <c:logBase val="10.0"/>
          <c:orientation val="minMax"/>
        </c:scaling>
        <c:delete val="1"/>
        <c:axPos val="l"/>
        <c:majorGridlines/>
        <c:numFmt formatCode="0.00" sourceLinked="1"/>
        <c:tickLblPos val="nextTo"/>
        <c:crossAx val="3202004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1995012468828"/>
          <c:y val="0.134930633670791"/>
          <c:w val="0.265661252900232"/>
          <c:h val="0.55168210329641"/>
        </c:manualLayout>
      </c:layout>
    </c:legend>
    <c:plotVisOnly val="1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plotArea>
      <c:layout>
        <c:manualLayout>
          <c:layoutTarget val="inner"/>
          <c:xMode val="edge"/>
          <c:yMode val="edge"/>
          <c:x val="0.0831924126691146"/>
          <c:y val="0.0357142857142857"/>
          <c:w val="0.651215441819772"/>
          <c:h val="0.799648950131234"/>
        </c:manualLayout>
      </c:layout>
      <c:scatterChart>
        <c:scatterStyle val="smoothMarker"/>
        <c:ser>
          <c:idx val="0"/>
          <c:order val="0"/>
          <c:tx>
            <c:v>400 MHz Ap Arr</c:v>
          </c:tx>
          <c:spPr>
            <a:ln>
              <a:noFill/>
            </a:ln>
          </c:spPr>
          <c:marker>
            <c:symbol val="x"/>
            <c:size val="5"/>
          </c:marker>
          <c:xVal>
            <c:numRef>
              <c:f>'vary s-c slope'!$C$40:$C$56</c:f>
              <c:numCache>
                <c:formatCode>0.00</c:formatCode>
                <c:ptCount val="17"/>
                <c:pt idx="0">
                  <c:v>0.18</c:v>
                </c:pt>
                <c:pt idx="1">
                  <c:v>0.72</c:v>
                </c:pt>
                <c:pt idx="2">
                  <c:v>1.62</c:v>
                </c:pt>
                <c:pt idx="3">
                  <c:v>2.88</c:v>
                </c:pt>
                <c:pt idx="4">
                  <c:v>4.5</c:v>
                </c:pt>
                <c:pt idx="5">
                  <c:v>6.48</c:v>
                </c:pt>
                <c:pt idx="6">
                  <c:v>8.82</c:v>
                </c:pt>
                <c:pt idx="7">
                  <c:v>11.52</c:v>
                </c:pt>
                <c:pt idx="8">
                  <c:v>14.58</c:v>
                </c:pt>
                <c:pt idx="9">
                  <c:v>18.0</c:v>
                </c:pt>
                <c:pt idx="10">
                  <c:v>21.78</c:v>
                </c:pt>
                <c:pt idx="11">
                  <c:v>25.92</c:v>
                </c:pt>
                <c:pt idx="12">
                  <c:v>30.42</c:v>
                </c:pt>
                <c:pt idx="13">
                  <c:v>35.28</c:v>
                </c:pt>
                <c:pt idx="14">
                  <c:v>40.5</c:v>
                </c:pt>
                <c:pt idx="15">
                  <c:v>46.08</c:v>
                </c:pt>
                <c:pt idx="16">
                  <c:v>52.02</c:v>
                </c:pt>
              </c:numCache>
            </c:numRef>
          </c:xVal>
          <c:yVal>
            <c:numRef>
              <c:f>'vary s-c slope'!$D$40:$D$56</c:f>
              <c:numCache>
                <c:formatCode>0.00</c:formatCode>
                <c:ptCount val="17"/>
                <c:pt idx="0">
                  <c:v>0.0135480921248166</c:v>
                </c:pt>
                <c:pt idx="1">
                  <c:v>0.0183202035881376</c:v>
                </c:pt>
                <c:pt idx="2">
                  <c:v>0.0169003926671422</c:v>
                </c:pt>
                <c:pt idx="3">
                  <c:v>0.013786931453774</c:v>
                </c:pt>
                <c:pt idx="4">
                  <c:v>0.0108767893127774</c:v>
                </c:pt>
                <c:pt idx="5">
                  <c:v>0.0085777757759613</c:v>
                </c:pt>
                <c:pt idx="6">
                  <c:v>0.00684228892841021</c:v>
                </c:pt>
                <c:pt idx="7">
                  <c:v>0.00553981918684417</c:v>
                </c:pt>
                <c:pt idx="8">
                  <c:v>0.00455380282377596</c:v>
                </c:pt>
                <c:pt idx="9">
                  <c:v>0.00379694907161245</c:v>
                </c:pt>
                <c:pt idx="10">
                  <c:v>0.00320710119567076</c:v>
                </c:pt>
                <c:pt idx="11">
                  <c:v>0.00274047792207982</c:v>
                </c:pt>
                <c:pt idx="12">
                  <c:v>0.00236609963862773</c:v>
                </c:pt>
                <c:pt idx="13">
                  <c:v>0.00206180282688077</c:v>
                </c:pt>
                <c:pt idx="14">
                  <c:v>0.00181151544036321</c:v>
                </c:pt>
                <c:pt idx="15">
                  <c:v>0.00160341576294046</c:v>
                </c:pt>
                <c:pt idx="16">
                  <c:v>0.00142868525747698</c:v>
                </c:pt>
              </c:numCache>
            </c:numRef>
          </c:yVal>
          <c:smooth val="1"/>
        </c:ser>
        <c:ser>
          <c:idx val="1"/>
          <c:order val="1"/>
          <c:tx>
            <c:v>800 MHZ Ap Arr</c:v>
          </c:tx>
          <c:spPr>
            <a:ln w="28575">
              <a:noFill/>
            </a:ln>
          </c:spPr>
          <c:marker>
            <c:symbol val="x"/>
            <c:size val="7"/>
          </c:marker>
          <c:xVal>
            <c:numRef>
              <c:f>'vary s-c slope'!$C$68:$C$85</c:f>
              <c:numCache>
                <c:formatCode>0.00</c:formatCode>
                <c:ptCount val="18"/>
                <c:pt idx="0">
                  <c:v>0.045</c:v>
                </c:pt>
                <c:pt idx="1">
                  <c:v>0.18</c:v>
                </c:pt>
                <c:pt idx="2">
                  <c:v>0.405</c:v>
                </c:pt>
                <c:pt idx="3">
                  <c:v>0.72</c:v>
                </c:pt>
                <c:pt idx="4">
                  <c:v>1.125</c:v>
                </c:pt>
                <c:pt idx="5">
                  <c:v>1.62</c:v>
                </c:pt>
                <c:pt idx="6">
                  <c:v>2.205</c:v>
                </c:pt>
                <c:pt idx="7">
                  <c:v>2.88</c:v>
                </c:pt>
                <c:pt idx="8">
                  <c:v>3.645</c:v>
                </c:pt>
                <c:pt idx="9">
                  <c:v>4.5</c:v>
                </c:pt>
                <c:pt idx="10">
                  <c:v>5.444999999999999</c:v>
                </c:pt>
                <c:pt idx="11">
                  <c:v>6.48</c:v>
                </c:pt>
                <c:pt idx="12">
                  <c:v>7.604999999999999</c:v>
                </c:pt>
                <c:pt idx="13">
                  <c:v>8.82</c:v>
                </c:pt>
                <c:pt idx="14">
                  <c:v>10.125</c:v>
                </c:pt>
                <c:pt idx="15">
                  <c:v>11.52</c:v>
                </c:pt>
                <c:pt idx="16">
                  <c:v>13.005</c:v>
                </c:pt>
                <c:pt idx="17">
                  <c:v>14.58</c:v>
                </c:pt>
              </c:numCache>
            </c:numRef>
          </c:xVal>
          <c:yVal>
            <c:numRef>
              <c:f>'vary s-c slope'!$D$68:$D$85</c:f>
              <c:numCache>
                <c:formatCode>0.00</c:formatCode>
                <c:ptCount val="18"/>
                <c:pt idx="0">
                  <c:v>0.00258525977113939</c:v>
                </c:pt>
                <c:pt idx="1">
                  <c:v>0.00415540304728142</c:v>
                </c:pt>
                <c:pt idx="2">
                  <c:v>0.00459173416402405</c:v>
                </c:pt>
                <c:pt idx="3">
                  <c:v>0.00433873316836466</c:v>
                </c:pt>
                <c:pt idx="4">
                  <c:v>0.00381759426339316</c:v>
                </c:pt>
                <c:pt idx="5">
                  <c:v>0.00325813412831264</c:v>
                </c:pt>
                <c:pt idx="6">
                  <c:v>0.00275224463872781</c:v>
                </c:pt>
                <c:pt idx="7">
                  <c:v>0.00232430446772753</c:v>
                </c:pt>
                <c:pt idx="8">
                  <c:v>0.00197189742747433</c:v>
                </c:pt>
                <c:pt idx="9">
                  <c:v>0.00168424114857778</c:v>
                </c:pt>
                <c:pt idx="10">
                  <c:v>0.00144944665269674</c:v>
                </c:pt>
                <c:pt idx="11">
                  <c:v>0.00125696685751306</c:v>
                </c:pt>
                <c:pt idx="12">
                  <c:v>0.00109815437711222</c:v>
                </c:pt>
                <c:pt idx="13">
                  <c:v>0.000966150760786025</c:v>
                </c:pt>
                <c:pt idx="14">
                  <c:v>0.000855588414034159</c:v>
                </c:pt>
                <c:pt idx="15">
                  <c:v>0.000762281171206326</c:v>
                </c:pt>
                <c:pt idx="16">
                  <c:v>0.000682958696267886</c:v>
                </c:pt>
                <c:pt idx="17">
                  <c:v>0.000615054559958288</c:v>
                </c:pt>
              </c:numCache>
            </c:numRef>
          </c:yVal>
          <c:smooth val="1"/>
        </c:ser>
        <c:ser>
          <c:idx val="3"/>
          <c:order val="2"/>
          <c:tx>
            <c:v>400 MHz Dish Arr</c:v>
          </c:tx>
          <c:spPr>
            <a:ln w="28575">
              <a:solidFill>
                <a:srgbClr val="3366FF"/>
              </a:solidFill>
            </a:ln>
          </c:spPr>
          <c:marker>
            <c:symbol val="none"/>
          </c:marker>
          <c:xVal>
            <c:numRef>
              <c:f>'vary s-c slope'!$A$19:$A$34</c:f>
              <c:numCache>
                <c:formatCode>0.00</c:formatCode>
                <c:ptCount val="16"/>
                <c:pt idx="0">
                  <c:v>20.0</c:v>
                </c:pt>
                <c:pt idx="1">
                  <c:v>22.0</c:v>
                </c:pt>
                <c:pt idx="2">
                  <c:v>24.0</c:v>
                </c:pt>
                <c:pt idx="3">
                  <c:v>26.0</c:v>
                </c:pt>
                <c:pt idx="4">
                  <c:v>28.0</c:v>
                </c:pt>
                <c:pt idx="5">
                  <c:v>30.0</c:v>
                </c:pt>
                <c:pt idx="6">
                  <c:v>32.0</c:v>
                </c:pt>
                <c:pt idx="7">
                  <c:v>34.0</c:v>
                </c:pt>
                <c:pt idx="8">
                  <c:v>36.0</c:v>
                </c:pt>
                <c:pt idx="9">
                  <c:v>38.0</c:v>
                </c:pt>
                <c:pt idx="10">
                  <c:v>40.0</c:v>
                </c:pt>
                <c:pt idx="11">
                  <c:v>42.0</c:v>
                </c:pt>
                <c:pt idx="12">
                  <c:v>44.0</c:v>
                </c:pt>
                <c:pt idx="13">
                  <c:v>46.0</c:v>
                </c:pt>
                <c:pt idx="14">
                  <c:v>48.0</c:v>
                </c:pt>
                <c:pt idx="15">
                  <c:v>50.0</c:v>
                </c:pt>
              </c:numCache>
            </c:numRef>
          </c:xVal>
          <c:yVal>
            <c:numRef>
              <c:f>'vary s-c slope'!$E$19:$E$34</c:f>
              <c:numCache>
                <c:formatCode>0.0</c:formatCode>
                <c:ptCount val="16"/>
                <c:pt idx="0">
                  <c:v>0.0318368126643338</c:v>
                </c:pt>
                <c:pt idx="1">
                  <c:v>0.0295599577267872</c:v>
                </c:pt>
                <c:pt idx="2">
                  <c:v>0.0275150199623474</c:v>
                </c:pt>
                <c:pt idx="3">
                  <c:v>0.0256772109155544</c:v>
                </c:pt>
                <c:pt idx="4">
                  <c:v>0.0240228236741491</c:v>
                </c:pt>
                <c:pt idx="5">
                  <c:v>0.0225302193523753</c:v>
                </c:pt>
                <c:pt idx="6">
                  <c:v>0.021180127979715</c:v>
                </c:pt>
                <c:pt idx="7">
                  <c:v>0.0199556196346477</c:v>
                </c:pt>
                <c:pt idx="8">
                  <c:v>0.0188419282035335</c:v>
                </c:pt>
                <c:pt idx="9">
                  <c:v>0.0178262206108313</c:v>
                </c:pt>
                <c:pt idx="10">
                  <c:v>0.016897357674012</c:v>
                </c:pt>
                <c:pt idx="11">
                  <c:v>0.0160456683020394</c:v>
                </c:pt>
                <c:pt idx="12">
                  <c:v>0.0152627460411706</c:v>
                </c:pt>
                <c:pt idx="13">
                  <c:v>0.0145412704799979</c:v>
                </c:pt>
                <c:pt idx="14">
                  <c:v>0.0138748528479654</c:v>
                </c:pt>
                <c:pt idx="15">
                  <c:v>0.0132579037207244</c:v>
                </c:pt>
              </c:numCache>
            </c:numRef>
          </c:yVal>
          <c:smooth val="1"/>
        </c:ser>
        <c:ser>
          <c:idx val="4"/>
          <c:order val="3"/>
          <c:tx>
            <c:v>800 MHz Dish Arr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'vary s-c slope'!$A$13:$A$34</c:f>
              <c:numCache>
                <c:formatCode>0.00</c:formatCode>
                <c:ptCount val="22"/>
                <c:pt idx="0">
                  <c:v>8.0</c:v>
                </c:pt>
                <c:pt idx="1">
                  <c:v>10.0</c:v>
                </c:pt>
                <c:pt idx="2">
                  <c:v>12.0</c:v>
                </c:pt>
                <c:pt idx="3">
                  <c:v>14.0</c:v>
                </c:pt>
                <c:pt idx="4">
                  <c:v>16.0</c:v>
                </c:pt>
                <c:pt idx="5">
                  <c:v>18.0</c:v>
                </c:pt>
                <c:pt idx="6">
                  <c:v>20.0</c:v>
                </c:pt>
                <c:pt idx="7">
                  <c:v>22.0</c:v>
                </c:pt>
                <c:pt idx="8">
                  <c:v>24.0</c:v>
                </c:pt>
                <c:pt idx="9">
                  <c:v>26.0</c:v>
                </c:pt>
                <c:pt idx="10">
                  <c:v>28.0</c:v>
                </c:pt>
                <c:pt idx="11">
                  <c:v>30.0</c:v>
                </c:pt>
                <c:pt idx="12">
                  <c:v>32.0</c:v>
                </c:pt>
                <c:pt idx="13">
                  <c:v>34.0</c:v>
                </c:pt>
                <c:pt idx="14">
                  <c:v>36.0</c:v>
                </c:pt>
                <c:pt idx="15">
                  <c:v>38.0</c:v>
                </c:pt>
                <c:pt idx="16">
                  <c:v>40.0</c:v>
                </c:pt>
                <c:pt idx="17">
                  <c:v>42.0</c:v>
                </c:pt>
                <c:pt idx="18">
                  <c:v>44.0</c:v>
                </c:pt>
                <c:pt idx="19">
                  <c:v>46.0</c:v>
                </c:pt>
                <c:pt idx="20">
                  <c:v>48.0</c:v>
                </c:pt>
                <c:pt idx="21">
                  <c:v>50.0</c:v>
                </c:pt>
              </c:numCache>
            </c:numRef>
          </c:xVal>
          <c:yVal>
            <c:numRef>
              <c:f>'vary s-c slope'!$I$13:$I$34</c:f>
              <c:numCache>
                <c:formatCode>0.0</c:formatCode>
                <c:ptCount val="22"/>
                <c:pt idx="0">
                  <c:v>0.0103428945607631</c:v>
                </c:pt>
                <c:pt idx="1">
                  <c:v>0.0103283350902921</c:v>
                </c:pt>
                <c:pt idx="2">
                  <c:v>0.0101326559263286</c:v>
                </c:pt>
                <c:pt idx="3">
                  <c:v>0.00983424542541836</c:v>
                </c:pt>
                <c:pt idx="4">
                  <c:v>0.00948083673991498</c:v>
                </c:pt>
                <c:pt idx="5">
                  <c:v>0.00910195712558737</c:v>
                </c:pt>
                <c:pt idx="6">
                  <c:v>0.00871593557050715</c:v>
                </c:pt>
                <c:pt idx="7">
                  <c:v>0.00833406107442176</c:v>
                </c:pt>
                <c:pt idx="8">
                  <c:v>0.00796313516035399</c:v>
                </c:pt>
                <c:pt idx="9">
                  <c:v>0.0076070758813341</c:v>
                </c:pt>
                <c:pt idx="10">
                  <c:v>0.00726794315467285</c:v>
                </c:pt>
                <c:pt idx="11">
                  <c:v>0.00694660258490515</c:v>
                </c:pt>
                <c:pt idx="12">
                  <c:v>0.0066431592715159</c:v>
                </c:pt>
                <c:pt idx="13">
                  <c:v>0.00635724311355861</c:v>
                </c:pt>
                <c:pt idx="14">
                  <c:v>0.00608819709273559</c:v>
                </c:pt>
                <c:pt idx="15">
                  <c:v>0.00583520155544736</c:v>
                </c:pt>
                <c:pt idx="16">
                  <c:v>0.00559735595103697</c:v>
                </c:pt>
                <c:pt idx="17">
                  <c:v>0.00537373212555331</c:v>
                </c:pt>
                <c:pt idx="18">
                  <c:v>0.00516340852435556</c:v>
                </c:pt>
                <c:pt idx="19">
                  <c:v>0.00496549155900939</c:v>
                </c:pt>
                <c:pt idx="20">
                  <c:v>0.00477912835052809</c:v>
                </c:pt>
                <c:pt idx="21">
                  <c:v>0.00460351370059748</c:v>
                </c:pt>
              </c:numCache>
            </c:numRef>
          </c:yVal>
          <c:smooth val="1"/>
        </c:ser>
        <c:ser>
          <c:idx val="5"/>
          <c:order val="4"/>
          <c:tx>
            <c:v>1600 MHz Dish Arr</c:v>
          </c:tx>
          <c:spPr>
            <a:ln w="28575">
              <a:solidFill>
                <a:srgbClr val="008000"/>
              </a:solidFill>
            </a:ln>
          </c:spPr>
          <c:marker>
            <c:symbol val="none"/>
          </c:marker>
          <c:xVal>
            <c:numRef>
              <c:f>'vary s-c slope'!$A$10:$A$24</c:f>
              <c:numCache>
                <c:formatCode>0.00</c:formatCode>
                <c:ptCount val="15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  <c:pt idx="5">
                  <c:v>12.0</c:v>
                </c:pt>
                <c:pt idx="6">
                  <c:v>14.0</c:v>
                </c:pt>
                <c:pt idx="7">
                  <c:v>16.0</c:v>
                </c:pt>
                <c:pt idx="8">
                  <c:v>18.0</c:v>
                </c:pt>
                <c:pt idx="9">
                  <c:v>20.0</c:v>
                </c:pt>
                <c:pt idx="10">
                  <c:v>22.0</c:v>
                </c:pt>
                <c:pt idx="11">
                  <c:v>24.0</c:v>
                </c:pt>
                <c:pt idx="12">
                  <c:v>26.0</c:v>
                </c:pt>
                <c:pt idx="13">
                  <c:v>28.0</c:v>
                </c:pt>
                <c:pt idx="14">
                  <c:v>30.0</c:v>
                </c:pt>
              </c:numCache>
            </c:numRef>
          </c:xVal>
          <c:yVal>
            <c:numRef>
              <c:f>'vary s-c slope'!$M$10:$M$34</c:f>
              <c:numCache>
                <c:formatCode>0.0</c:formatCode>
                <c:ptCount val="25"/>
                <c:pt idx="0">
                  <c:v>0.00111952889013813</c:v>
                </c:pt>
                <c:pt idx="1">
                  <c:v>0.00149697392662675</c:v>
                </c:pt>
                <c:pt idx="2">
                  <c:v>0.00172428357548151</c:v>
                </c:pt>
                <c:pt idx="3">
                  <c:v>0.00186748861209467</c:v>
                </c:pt>
                <c:pt idx="4">
                  <c:v>0.00195583609175333</c:v>
                </c:pt>
                <c:pt idx="5">
                  <c:v>0.00200611145442186</c:v>
                </c:pt>
                <c:pt idx="6">
                  <c:v>0.00202916207221596</c:v>
                </c:pt>
                <c:pt idx="7">
                  <c:v>0.00203245909236276</c:v>
                </c:pt>
                <c:pt idx="8">
                  <c:v>0.00202134486862588</c:v>
                </c:pt>
                <c:pt idx="9">
                  <c:v>0.001999730407169</c:v>
                </c:pt>
                <c:pt idx="10">
                  <c:v>0.00197052325529039</c:v>
                </c:pt>
                <c:pt idx="11">
                  <c:v>0.00193590728475826</c:v>
                </c:pt>
                <c:pt idx="12">
                  <c:v>0.00189753396494279</c:v>
                </c:pt>
                <c:pt idx="13">
                  <c:v>0.00185665735236079</c:v>
                </c:pt>
                <c:pt idx="14">
                  <c:v>0.00181423160372211</c:v>
                </c:pt>
                <c:pt idx="15">
                  <c:v>0.00177098266230595</c:v>
                </c:pt>
                <c:pt idx="16">
                  <c:v>0.00172746167681225</c:v>
                </c:pt>
                <c:pt idx="17">
                  <c:v>0.00168408523774574</c:v>
                </c:pt>
                <c:pt idx="18">
                  <c:v>0.0016411659497799</c:v>
                </c:pt>
                <c:pt idx="19">
                  <c:v>0.00159893582920149</c:v>
                </c:pt>
                <c:pt idx="20">
                  <c:v>0.00155756431880548</c:v>
                </c:pt>
                <c:pt idx="21">
                  <c:v>0.00151717222958961</c:v>
                </c:pt>
                <c:pt idx="22">
                  <c:v>0.00147784257716651</c:v>
                </c:pt>
                <c:pt idx="23">
                  <c:v>0.00143962903558857</c:v>
                </c:pt>
                <c:pt idx="24">
                  <c:v>0.00140256255280803</c:v>
                </c:pt>
              </c:numCache>
            </c:numRef>
          </c:yVal>
          <c:smooth val="1"/>
        </c:ser>
        <c:ser>
          <c:idx val="2"/>
          <c:order val="5"/>
          <c:tx>
            <c:v>1600 MHz Ap Arr</c:v>
          </c:tx>
          <c:spPr>
            <a:ln w="28575">
              <a:noFill/>
            </a:ln>
          </c:spPr>
          <c:marker>
            <c:symbol val="star"/>
            <c:size val="7"/>
            <c:spPr>
              <a:noFill/>
            </c:spPr>
          </c:marker>
          <c:xVal>
            <c:numRef>
              <c:f>'vary s-c slope'!$C$102:$C$121</c:f>
              <c:numCache>
                <c:formatCode>0.00</c:formatCode>
                <c:ptCount val="20"/>
                <c:pt idx="0">
                  <c:v>0.01125</c:v>
                </c:pt>
                <c:pt idx="1">
                  <c:v>0.045</c:v>
                </c:pt>
                <c:pt idx="2">
                  <c:v>0.10125</c:v>
                </c:pt>
                <c:pt idx="3">
                  <c:v>0.18</c:v>
                </c:pt>
                <c:pt idx="4">
                  <c:v>0.28125</c:v>
                </c:pt>
                <c:pt idx="5">
                  <c:v>0.405</c:v>
                </c:pt>
                <c:pt idx="6">
                  <c:v>0.55125</c:v>
                </c:pt>
                <c:pt idx="7">
                  <c:v>0.72</c:v>
                </c:pt>
                <c:pt idx="8">
                  <c:v>0.91125</c:v>
                </c:pt>
                <c:pt idx="9">
                  <c:v>1.125</c:v>
                </c:pt>
                <c:pt idx="10">
                  <c:v>1.36125</c:v>
                </c:pt>
                <c:pt idx="11">
                  <c:v>1.62</c:v>
                </c:pt>
                <c:pt idx="12">
                  <c:v>1.90125</c:v>
                </c:pt>
                <c:pt idx="13">
                  <c:v>2.205</c:v>
                </c:pt>
                <c:pt idx="14">
                  <c:v>2.53125</c:v>
                </c:pt>
                <c:pt idx="15">
                  <c:v>2.88</c:v>
                </c:pt>
                <c:pt idx="16">
                  <c:v>3.25125</c:v>
                </c:pt>
                <c:pt idx="17">
                  <c:v>3.645</c:v>
                </c:pt>
                <c:pt idx="18">
                  <c:v>4.06125</c:v>
                </c:pt>
                <c:pt idx="19">
                  <c:v>4.5</c:v>
                </c:pt>
              </c:numCache>
            </c:numRef>
          </c:xVal>
          <c:yVal>
            <c:numRef>
              <c:f>'vary s-c slope'!$D$102:$D$121</c:f>
              <c:numCache>
                <c:formatCode>0.00</c:formatCode>
                <c:ptCount val="20"/>
                <c:pt idx="0">
                  <c:v>0.000475539505126147</c:v>
                </c:pt>
                <c:pt idx="1">
                  <c:v>0.000846755757801035</c:v>
                </c:pt>
                <c:pt idx="2">
                  <c:v>0.00106554477508158</c:v>
                </c:pt>
                <c:pt idx="3">
                  <c:v>0.0011450127242586</c:v>
                </c:pt>
                <c:pt idx="4">
                  <c:v>0.00112769588502356</c:v>
                </c:pt>
                <c:pt idx="5">
                  <c:v>0.00105627454169639</c:v>
                </c:pt>
                <c:pt idx="6">
                  <c:v>0.000961479046069388</c:v>
                </c:pt>
                <c:pt idx="7">
                  <c:v>0.000861683215860876</c:v>
                </c:pt>
                <c:pt idx="8">
                  <c:v>0.000766404690661816</c:v>
                </c:pt>
                <c:pt idx="9">
                  <c:v>0.00067979933204859</c:v>
                </c:pt>
                <c:pt idx="10">
                  <c:v>0.000603104654839552</c:v>
                </c:pt>
                <c:pt idx="11">
                  <c:v>0.000536110985997582</c:v>
                </c:pt>
                <c:pt idx="12">
                  <c:v>0.00047797513337613</c:v>
                </c:pt>
                <c:pt idx="13">
                  <c:v>0.000427643058025639</c:v>
                </c:pt>
                <c:pt idx="14">
                  <c:v>0.000384055525267342</c:v>
                </c:pt>
                <c:pt idx="15">
                  <c:v>0.000346238699177761</c:v>
                </c:pt>
                <c:pt idx="16">
                  <c:v>0.000313336174495316</c:v>
                </c:pt>
                <c:pt idx="17">
                  <c:v>0.000284612676485997</c:v>
                </c:pt>
                <c:pt idx="18">
                  <c:v>0.000259445167825326</c:v>
                </c:pt>
                <c:pt idx="19">
                  <c:v>0.000237309316975778</c:v>
                </c:pt>
              </c:numCache>
            </c:numRef>
          </c:yVal>
          <c:smooth val="1"/>
        </c:ser>
        <c:ser>
          <c:idx val="6"/>
          <c:order val="6"/>
          <c:tx>
            <c:v>400 dish ext</c:v>
          </c:tx>
          <c:spPr>
            <a:ln w="28575">
              <a:solidFill>
                <a:srgbClr val="3366FF"/>
              </a:solidFill>
              <a:prstDash val="dash"/>
            </a:ln>
          </c:spPr>
          <c:marker>
            <c:symbol val="none"/>
          </c:marker>
          <c:xVal>
            <c:numRef>
              <c:f>'vary s-c slope'!$A$10:$A$19</c:f>
              <c:numCache>
                <c:formatCode>0.00</c:formatCode>
                <c:ptCount val="10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  <c:pt idx="5">
                  <c:v>12.0</c:v>
                </c:pt>
                <c:pt idx="6">
                  <c:v>14.0</c:v>
                </c:pt>
                <c:pt idx="7">
                  <c:v>16.0</c:v>
                </c:pt>
                <c:pt idx="8">
                  <c:v>18.0</c:v>
                </c:pt>
                <c:pt idx="9">
                  <c:v>20.0</c:v>
                </c:pt>
              </c:numCache>
            </c:numRef>
          </c:xVal>
          <c:yVal>
            <c:numRef>
              <c:f>'vary s-c slope'!$E$10:$E$19</c:f>
              <c:numCache>
                <c:formatCode>0.0</c:formatCode>
                <c:ptCount val="10"/>
                <c:pt idx="0">
                  <c:v>0.0449626909631039</c:v>
                </c:pt>
                <c:pt idx="1">
                  <c:v>0.0521991314949303</c:v>
                </c:pt>
                <c:pt idx="2">
                  <c:v>0.0524962840406398</c:v>
                </c:pt>
                <c:pt idx="3">
                  <c:v>0.0501974522664226</c:v>
                </c:pt>
                <c:pt idx="4">
                  <c:v>0.0469799760643176</c:v>
                </c:pt>
                <c:pt idx="5">
                  <c:v>0.0435613615106679</c:v>
                </c:pt>
                <c:pt idx="6">
                  <c:v>0.0402510520300995</c:v>
                </c:pt>
                <c:pt idx="7">
                  <c:v>0.0371738514884912</c:v>
                </c:pt>
                <c:pt idx="8">
                  <c:v>0.0343690853338455</c:v>
                </c:pt>
                <c:pt idx="9">
                  <c:v>0.0318368126643338</c:v>
                </c:pt>
              </c:numCache>
            </c:numRef>
          </c:yVal>
          <c:smooth val="1"/>
        </c:ser>
        <c:ser>
          <c:idx val="7"/>
          <c:order val="7"/>
          <c:tx>
            <c:v>800 dish ext</c:v>
          </c:tx>
          <c:spPr>
            <a:ln w="28575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'vary s-c slope'!$A$10:$A$13</c:f>
              <c:numCache>
                <c:formatCode>0.00</c:formatCode>
                <c:ptCount val="4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</c:numCache>
            </c:numRef>
          </c:xVal>
          <c:yVal>
            <c:numRef>
              <c:f>'vary s-c slope'!$I$10:$I$13</c:f>
              <c:numCache>
                <c:formatCode>0.0</c:formatCode>
                <c:ptCount val="4"/>
                <c:pt idx="0">
                  <c:v>0.00722973955859602</c:v>
                </c:pt>
                <c:pt idx="1">
                  <c:v>0.00918505085242759</c:v>
                </c:pt>
                <c:pt idx="2">
                  <c:v>0.0100430887131488</c:v>
                </c:pt>
                <c:pt idx="3">
                  <c:v>0.0103428945607631</c:v>
                </c:pt>
              </c:numCache>
            </c:numRef>
          </c:yVal>
          <c:smooth val="1"/>
        </c:ser>
        <c:axId val="297561576"/>
        <c:axId val="298701112"/>
      </c:scatterChart>
      <c:valAx>
        <c:axId val="297561576"/>
        <c:scaling>
          <c:orientation val="minMax"/>
          <c:max val="30.0"/>
        </c:scaling>
        <c:axPos val="b"/>
        <c:numFmt formatCode="0.00" sourceLinked="1"/>
        <c:tickLblPos val="nextTo"/>
        <c:crossAx val="298701112"/>
        <c:crosses val="autoZero"/>
        <c:crossBetween val="midCat"/>
      </c:valAx>
      <c:valAx>
        <c:axId val="298701112"/>
        <c:scaling>
          <c:logBase val="10.0"/>
          <c:orientation val="minMax"/>
        </c:scaling>
        <c:axPos val="l"/>
        <c:majorGridlines/>
        <c:numFmt formatCode="0.00" sourceLinked="1"/>
        <c:tickLblPos val="nextTo"/>
        <c:crossAx val="2975615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406400</xdr:colOff>
      <xdr:row>35</xdr:row>
      <xdr:rowOff>25400</xdr:rowOff>
    </xdr:from>
    <xdr:to>
      <xdr:col>15</xdr:col>
      <xdr:colOff>876300</xdr:colOff>
      <xdr:row>48</xdr:row>
      <xdr:rowOff>12700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0</xdr:row>
      <xdr:rowOff>63500</xdr:rowOff>
    </xdr:from>
    <xdr:to>
      <xdr:col>5</xdr:col>
      <xdr:colOff>825500</xdr:colOff>
      <xdr:row>23</xdr:row>
      <xdr:rowOff>12700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8</xdr:row>
      <xdr:rowOff>25400</xdr:rowOff>
    </xdr:from>
    <xdr:to>
      <xdr:col>10</xdr:col>
      <xdr:colOff>355600</xdr:colOff>
      <xdr:row>33</xdr:row>
      <xdr:rowOff>25400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dimension ref="A1:O185"/>
  <sheetViews>
    <sheetView view="pageLayout" zoomScale="25" workbookViewId="0">
      <selection sqref="A1:P196"/>
    </sheetView>
  </sheetViews>
  <sheetFormatPr baseColWidth="10" defaultRowHeight="13"/>
  <cols>
    <col min="1" max="1" width="8" customWidth="1"/>
    <col min="2" max="2" width="7.85546875" customWidth="1"/>
    <col min="3" max="3" width="6.85546875" customWidth="1"/>
    <col min="4" max="4" width="10" customWidth="1"/>
    <col min="5" max="5" width="7.140625" style="2" customWidth="1"/>
    <col min="6" max="6" width="7.28515625" customWidth="1"/>
    <col min="7" max="7" width="6.85546875" customWidth="1"/>
    <col min="8" max="8" width="8.5703125" customWidth="1"/>
    <col min="9" max="9" width="9" style="2" customWidth="1"/>
    <col min="10" max="10" width="10" style="2" customWidth="1"/>
    <col min="11" max="11" width="6.42578125" customWidth="1"/>
    <col min="12" max="12" width="7.140625" style="3" customWidth="1"/>
    <col min="13" max="13" width="7" style="3" customWidth="1"/>
    <col min="14" max="15" width="10.7109375" style="3"/>
  </cols>
  <sheetData>
    <row r="1" spans="1:15">
      <c r="A1" t="s">
        <v>19</v>
      </c>
    </row>
    <row r="2" spans="1:15">
      <c r="A2" t="s">
        <v>20</v>
      </c>
      <c r="B2" t="s">
        <v>21</v>
      </c>
      <c r="C2" t="s">
        <v>8</v>
      </c>
      <c r="D2" t="s">
        <v>22</v>
      </c>
      <c r="E2" s="2" t="s">
        <v>15</v>
      </c>
      <c r="G2" t="s">
        <v>2</v>
      </c>
    </row>
    <row r="3" spans="1:15">
      <c r="A3">
        <v>1000</v>
      </c>
      <c r="B3">
        <v>2.9000000000000001E-2</v>
      </c>
      <c r="C3">
        <v>6.7000000000000004E-2</v>
      </c>
      <c r="D3">
        <f>2.3*10^(-3)</f>
        <v>2.3E-3</v>
      </c>
      <c r="E3" s="2">
        <v>0.66</v>
      </c>
      <c r="G3">
        <f>D3/2</f>
        <v>1.15E-3</v>
      </c>
    </row>
    <row r="5" spans="1:15">
      <c r="C5" t="s">
        <v>11</v>
      </c>
      <c r="D5">
        <v>400</v>
      </c>
      <c r="F5">
        <v>800</v>
      </c>
      <c r="J5" s="2">
        <v>1600</v>
      </c>
      <c r="N5" s="3" t="s">
        <v>6</v>
      </c>
      <c r="O5" s="3" t="s">
        <v>7</v>
      </c>
    </row>
    <row r="6" spans="1:15">
      <c r="A6" t="s">
        <v>18</v>
      </c>
      <c r="B6" t="s">
        <v>30</v>
      </c>
      <c r="N6" s="3">
        <v>400</v>
      </c>
    </row>
    <row r="7" spans="1:15">
      <c r="A7" t="s">
        <v>17</v>
      </c>
      <c r="C7" t="s">
        <v>31</v>
      </c>
      <c r="D7" t="s">
        <v>32</v>
      </c>
      <c r="E7" s="2" t="s">
        <v>25</v>
      </c>
      <c r="F7" t="s">
        <v>30</v>
      </c>
      <c r="G7" t="s">
        <v>0</v>
      </c>
      <c r="H7" t="s">
        <v>32</v>
      </c>
      <c r="I7" s="2" t="s">
        <v>25</v>
      </c>
      <c r="J7" s="2" t="s">
        <v>30</v>
      </c>
      <c r="K7" t="s">
        <v>0</v>
      </c>
      <c r="L7" s="3" t="s">
        <v>32</v>
      </c>
      <c r="M7" s="3" t="s">
        <v>25</v>
      </c>
    </row>
    <row r="9" spans="1:15">
      <c r="A9" s="1">
        <v>0</v>
      </c>
      <c r="B9">
        <f t="shared" ref="B9:B34" si="0">$A$3/($B$3*A9^(1.25) +$D$3*$E$3*D$5)</f>
        <v>1646.9038208168645</v>
      </c>
      <c r="C9">
        <f>B$3*A9^(1.25) *B9 +D$3*$D$5*E$3*B9</f>
        <v>1000</v>
      </c>
      <c r="D9" s="1">
        <f t="shared" ref="D9:D34" si="1">+A9^(0.5)*B9^(1.5)*D$5^(-1.25)</f>
        <v>0</v>
      </c>
      <c r="E9" s="2">
        <f>D9/C9</f>
        <v>0</v>
      </c>
      <c r="F9">
        <f>$A$3/($B$3*($A9^(1.25)) +$D$3*$E$3*F$5)</f>
        <v>823.45191040843224</v>
      </c>
      <c r="G9">
        <f t="shared" ref="G9:G34" si="2">$B$3*($A9^(1.25)) *F9 +$D$3*$E$3*$F$5*F9</f>
        <v>1000</v>
      </c>
      <c r="H9" s="1">
        <f t="shared" ref="H9:H34" si="3">A9^(0.5)*F9^(1.5)*F$5^(-1.25)</f>
        <v>0</v>
      </c>
      <c r="I9" s="2">
        <f>H9/G9</f>
        <v>0</v>
      </c>
      <c r="J9" s="2">
        <f>$A$3/($B$3*($A9^(1.25)) +$D$3*$E$3*J$5)</f>
        <v>411.72595520421612</v>
      </c>
      <c r="K9">
        <f>$B$3*($A9^(1.25)) *J9 +$D$3*$E$3*$J$5*J9</f>
        <v>1000</v>
      </c>
      <c r="L9" s="3">
        <f t="shared" ref="L9:L34" si="4">A9^(0.5)*J9^(1.5)*J$5^(-1.25)</f>
        <v>0</v>
      </c>
      <c r="M9" s="3">
        <f>L9/K9</f>
        <v>0</v>
      </c>
      <c r="N9" s="3">
        <f>B$3*A9^(1.25)*B9</f>
        <v>0</v>
      </c>
      <c r="O9" s="3">
        <f>$G$3*$E$3*$D$5*J9</f>
        <v>125</v>
      </c>
    </row>
    <row r="10" spans="1:15">
      <c r="A10" s="1">
        <f>A9+2</f>
        <v>2</v>
      </c>
      <c r="B10">
        <f t="shared" si="0"/>
        <v>1478.9092471198044</v>
      </c>
      <c r="C10">
        <f t="shared" ref="C10:C34" si="5">B$3*A10^(1.25) *B10 +D$3*$D$5*E$3*B10</f>
        <v>1000.0000000000001</v>
      </c>
      <c r="D10" s="1">
        <f>+A10^(0.5)*B10^(1.5)*D$5^(-1.25)</f>
        <v>44.962690963103938</v>
      </c>
      <c r="E10" s="2">
        <f t="shared" ref="E10:E34" si="6">D10/C10</f>
        <v>4.4962690963103936E-2</v>
      </c>
      <c r="F10">
        <f t="shared" ref="F10:F34" si="7">$A$3/($B$3*$A10^(1.25) +$D$3*$E$3*F$5)</f>
        <v>779.19608011963987</v>
      </c>
      <c r="G10">
        <f t="shared" si="2"/>
        <v>1000</v>
      </c>
      <c r="H10" s="1">
        <f>A10^(0.5)*F10^(1.5)*F$5^(-1.25)</f>
        <v>7.2297395585960249</v>
      </c>
      <c r="I10" s="2">
        <f>H10/G10</f>
        <v>7.2297395585960251E-3</v>
      </c>
      <c r="J10" s="2">
        <f t="shared" ref="J10:J34" si="8">$A$3/($B$3*$A10^(1.25) +$D$3*$E$3*J$5)</f>
        <v>400.35647537664352</v>
      </c>
      <c r="K10">
        <f>$B$3*($A10^(1.25)) *J10 +$D$3*$E$3*$J$5*J10</f>
        <v>1000.0000000000001</v>
      </c>
      <c r="L10" s="3">
        <f>A10^(0.5)*J10^(1.5)*J$5^(-1.25)</f>
        <v>1.1195288901381353</v>
      </c>
      <c r="M10" s="3">
        <f>L10/K10</f>
        <v>1.1195288901381351E-3</v>
      </c>
      <c r="N10" s="3">
        <f>B$3*A10^(1.25)*B10</f>
        <v>102.00630514885495</v>
      </c>
      <c r="O10" s="3">
        <f>$D$3*$E$3*$D$5*B10</f>
        <v>897.99369485114516</v>
      </c>
    </row>
    <row r="11" spans="1:15">
      <c r="A11" s="1">
        <f t="shared" ref="A11:A34" si="9">A10+2</f>
        <v>4</v>
      </c>
      <c r="B11">
        <f t="shared" si="0"/>
        <v>1296.5984967537024</v>
      </c>
      <c r="C11">
        <f t="shared" si="5"/>
        <v>999.99999999999977</v>
      </c>
      <c r="D11" s="1">
        <f t="shared" ref="D11:D34" si="10">+A11^(0.5)*B11^(1.5)*D$5^(-1.25)</f>
        <v>52.199131494930334</v>
      </c>
      <c r="E11" s="2">
        <f t="shared" si="6"/>
        <v>5.2199131494930349E-2</v>
      </c>
      <c r="F11">
        <f t="shared" si="7"/>
        <v>725.45314662144222</v>
      </c>
      <c r="G11">
        <f t="shared" si="2"/>
        <v>1000</v>
      </c>
      <c r="H11" s="1">
        <f t="shared" ref="H11:H34" si="11">A11^(0.5)*F11^(1.5)*F$5^(-1.25)</f>
        <v>9.1850508524275885</v>
      </c>
      <c r="I11" s="2">
        <f t="shared" ref="I11:I34" si="12">H11/G11</f>
        <v>9.1850508524275887E-3</v>
      </c>
      <c r="J11" s="2">
        <f t="shared" si="8"/>
        <v>385.67617607417571</v>
      </c>
      <c r="K11">
        <f t="shared" ref="K11:K34" si="13">$B$3*($A11^(1.25)) *J11 +$D$3*$E$3*$J$5*J11</f>
        <v>999.99999999999989</v>
      </c>
      <c r="L11" s="3">
        <f t="shared" ref="L11:L34" si="14">A11^(0.5)*J11^(1.5)*J$5^(-1.25)</f>
        <v>1.4969739266267454</v>
      </c>
      <c r="M11" s="3">
        <f t="shared" ref="M11:M34" si="15">L11/K11</f>
        <v>1.4969739266267456E-3</v>
      </c>
      <c r="N11" s="3">
        <f t="shared" ref="N11:N34" si="16">B$3*A11^(1.25)*B11</f>
        <v>212.70539277115182</v>
      </c>
      <c r="O11" s="3">
        <f t="shared" ref="O11:O34" si="17">$D$3*$E$3*$D$5*B11</f>
        <v>787.29460722884801</v>
      </c>
    </row>
    <row r="12" spans="1:15">
      <c r="A12" s="1">
        <f t="shared" si="9"/>
        <v>6</v>
      </c>
      <c r="B12">
        <f t="shared" si="0"/>
        <v>1136.9777116524849</v>
      </c>
      <c r="C12">
        <f t="shared" si="5"/>
        <v>999.99999999999977</v>
      </c>
      <c r="D12" s="1">
        <f t="shared" si="10"/>
        <v>52.496284040639836</v>
      </c>
      <c r="E12" s="2">
        <f t="shared" si="6"/>
        <v>5.249628404063985E-2</v>
      </c>
      <c r="F12">
        <f t="shared" si="7"/>
        <v>672.6194759599415</v>
      </c>
      <c r="G12">
        <f t="shared" si="2"/>
        <v>999.99999999999989</v>
      </c>
      <c r="H12" s="1">
        <f t="shared" si="11"/>
        <v>10.043088713148805</v>
      </c>
      <c r="I12" s="2">
        <f t="shared" si="12"/>
        <v>1.0043088713148806E-2</v>
      </c>
      <c r="J12" s="2">
        <f t="shared" si="8"/>
        <v>370.21615245353973</v>
      </c>
      <c r="K12">
        <f t="shared" si="13"/>
        <v>1000</v>
      </c>
      <c r="L12" s="3">
        <f t="shared" si="14"/>
        <v>1.7242835754815062</v>
      </c>
      <c r="M12" s="3">
        <f t="shared" si="15"/>
        <v>1.7242835754815063E-3</v>
      </c>
      <c r="N12" s="3">
        <f t="shared" si="16"/>
        <v>309.62713348461108</v>
      </c>
      <c r="O12" s="3">
        <f t="shared" si="17"/>
        <v>690.37286651538875</v>
      </c>
    </row>
    <row r="13" spans="1:15">
      <c r="A13" s="1">
        <f t="shared" si="9"/>
        <v>8</v>
      </c>
      <c r="B13">
        <f t="shared" si="0"/>
        <v>1002.6309671466681</v>
      </c>
      <c r="C13">
        <f t="shared" si="5"/>
        <v>999.99999999999989</v>
      </c>
      <c r="D13" s="1">
        <f t="shared" si="10"/>
        <v>50.197452266422566</v>
      </c>
      <c r="E13" s="2">
        <f t="shared" si="6"/>
        <v>5.0197452266422575E-2</v>
      </c>
      <c r="F13">
        <f t="shared" si="7"/>
        <v>623.21762226504609</v>
      </c>
      <c r="G13">
        <f t="shared" si="2"/>
        <v>1000</v>
      </c>
      <c r="H13" s="1">
        <f t="shared" si="11"/>
        <v>10.342894560763122</v>
      </c>
      <c r="I13" s="2">
        <f t="shared" si="12"/>
        <v>1.0342894560763122E-2</v>
      </c>
      <c r="J13" s="2">
        <f t="shared" si="8"/>
        <v>354.73874997973206</v>
      </c>
      <c r="K13">
        <f t="shared" si="13"/>
        <v>999.99999999999989</v>
      </c>
      <c r="L13" s="3">
        <f t="shared" si="14"/>
        <v>1.867488612094669</v>
      </c>
      <c r="M13" s="3">
        <f t="shared" si="15"/>
        <v>1.8674886120946693E-3</v>
      </c>
      <c r="N13" s="3">
        <f t="shared" si="16"/>
        <v>391.20247674854306</v>
      </c>
      <c r="O13" s="3">
        <f t="shared" si="17"/>
        <v>608.79752325145682</v>
      </c>
    </row>
    <row r="14" spans="1:15">
      <c r="A14" s="1">
        <f t="shared" si="9"/>
        <v>10</v>
      </c>
      <c r="B14">
        <f t="shared" si="0"/>
        <v>890.55043521471623</v>
      </c>
      <c r="C14">
        <f t="shared" si="5"/>
        <v>1000</v>
      </c>
      <c r="D14" s="1">
        <f t="shared" si="10"/>
        <v>46.979976064317597</v>
      </c>
      <c r="E14" s="2">
        <f t="shared" si="6"/>
        <v>4.69799760643176E-2</v>
      </c>
      <c r="F14">
        <f t="shared" si="7"/>
        <v>578.00092785869072</v>
      </c>
      <c r="G14">
        <f t="shared" si="2"/>
        <v>999.99999999999989</v>
      </c>
      <c r="H14" s="1">
        <f t="shared" si="11"/>
        <v>10.328335090292107</v>
      </c>
      <c r="I14" s="2">
        <f t="shared" si="12"/>
        <v>1.0328335090292108E-2</v>
      </c>
      <c r="J14" s="2">
        <f t="shared" si="8"/>
        <v>339.61611498221964</v>
      </c>
      <c r="K14">
        <f t="shared" si="13"/>
        <v>1000</v>
      </c>
      <c r="L14" s="3">
        <f t="shared" si="14"/>
        <v>1.9558360917533286</v>
      </c>
      <c r="M14" s="3">
        <f t="shared" si="15"/>
        <v>1.9558360917533288E-3</v>
      </c>
      <c r="N14" s="3">
        <f t="shared" si="16"/>
        <v>459.2577757376244</v>
      </c>
      <c r="O14" s="3">
        <f t="shared" si="17"/>
        <v>540.74222426237566</v>
      </c>
    </row>
    <row r="15" spans="1:15">
      <c r="A15" s="1">
        <f t="shared" si="9"/>
        <v>12</v>
      </c>
      <c r="B15">
        <f t="shared" si="0"/>
        <v>796.87562157931916</v>
      </c>
      <c r="C15">
        <f t="shared" si="5"/>
        <v>999.99999999999989</v>
      </c>
      <c r="D15" s="1">
        <f t="shared" si="10"/>
        <v>43.561361510667901</v>
      </c>
      <c r="E15" s="2">
        <f t="shared" si="6"/>
        <v>4.3561361510667904E-2</v>
      </c>
      <c r="F15">
        <f t="shared" si="7"/>
        <v>537.02780337982438</v>
      </c>
      <c r="G15">
        <f t="shared" si="2"/>
        <v>1000</v>
      </c>
      <c r="H15" s="1">
        <f t="shared" si="11"/>
        <v>10.132655926328569</v>
      </c>
      <c r="I15" s="2">
        <f t="shared" si="12"/>
        <v>1.0132655926328568E-2</v>
      </c>
      <c r="J15" s="2">
        <f t="shared" si="8"/>
        <v>325.04458989999051</v>
      </c>
      <c r="K15">
        <f t="shared" si="13"/>
        <v>1000.0000000000001</v>
      </c>
      <c r="L15" s="3">
        <f t="shared" si="14"/>
        <v>2.0061114544218603</v>
      </c>
      <c r="M15" s="3">
        <f t="shared" si="15"/>
        <v>2.00611145442186E-3</v>
      </c>
      <c r="N15" s="3">
        <f t="shared" si="16"/>
        <v>516.1371225770373</v>
      </c>
      <c r="O15" s="3">
        <f t="shared" si="17"/>
        <v>483.86287742296258</v>
      </c>
    </row>
    <row r="16" spans="1:15">
      <c r="A16" s="1">
        <f t="shared" si="9"/>
        <v>14</v>
      </c>
      <c r="B16">
        <f t="shared" si="0"/>
        <v>718.11192406318992</v>
      </c>
      <c r="C16">
        <f t="shared" si="5"/>
        <v>1000</v>
      </c>
      <c r="D16" s="1">
        <f t="shared" si="10"/>
        <v>40.251052030099522</v>
      </c>
      <c r="E16" s="2">
        <f t="shared" si="6"/>
        <v>4.0251052030099523E-2</v>
      </c>
      <c r="F16">
        <f t="shared" si="7"/>
        <v>500.06486175583495</v>
      </c>
      <c r="G16">
        <f t="shared" si="2"/>
        <v>1000</v>
      </c>
      <c r="H16" s="1">
        <f t="shared" si="11"/>
        <v>9.8342454254183593</v>
      </c>
      <c r="I16" s="2">
        <f t="shared" si="12"/>
        <v>9.8342454254183587E-3</v>
      </c>
      <c r="J16" s="2">
        <f t="shared" si="8"/>
        <v>311.12515866921194</v>
      </c>
      <c r="K16">
        <f t="shared" si="13"/>
        <v>1000</v>
      </c>
      <c r="L16" s="3">
        <f t="shared" si="14"/>
        <v>2.0291620722159616</v>
      </c>
      <c r="M16" s="3">
        <f t="shared" si="15"/>
        <v>2.0291620722159617E-3</v>
      </c>
      <c r="N16" s="3">
        <f t="shared" si="16"/>
        <v>563.96243970883108</v>
      </c>
      <c r="O16" s="3">
        <f t="shared" si="17"/>
        <v>436.03756029116892</v>
      </c>
    </row>
    <row r="17" spans="1:15">
      <c r="A17" s="1">
        <f t="shared" si="9"/>
        <v>16</v>
      </c>
      <c r="B17">
        <f t="shared" si="0"/>
        <v>651.38092756644085</v>
      </c>
      <c r="C17">
        <f t="shared" si="5"/>
        <v>1000</v>
      </c>
      <c r="D17" s="1">
        <f t="shared" si="10"/>
        <v>37.17385148849116</v>
      </c>
      <c r="E17" s="2">
        <f t="shared" si="6"/>
        <v>3.7173851488491158E-2</v>
      </c>
      <c r="F17">
        <f t="shared" si="7"/>
        <v>466.76624346527262</v>
      </c>
      <c r="G17">
        <f t="shared" si="2"/>
        <v>1000</v>
      </c>
      <c r="H17" s="1">
        <f t="shared" si="11"/>
        <v>9.4808367399149791</v>
      </c>
      <c r="I17" s="2">
        <f t="shared" si="12"/>
        <v>9.4808367399149794E-3</v>
      </c>
      <c r="J17" s="2">
        <f t="shared" si="8"/>
        <v>297.90276453765495</v>
      </c>
      <c r="K17">
        <f t="shared" si="13"/>
        <v>1000</v>
      </c>
      <c r="L17" s="3">
        <f t="shared" si="14"/>
        <v>2.0324590923627621</v>
      </c>
      <c r="M17" s="3">
        <f t="shared" si="15"/>
        <v>2.0324590923627623E-3</v>
      </c>
      <c r="N17" s="3">
        <f t="shared" si="16"/>
        <v>604.48150078165713</v>
      </c>
      <c r="O17" s="3">
        <f t="shared" si="17"/>
        <v>395.51849921834287</v>
      </c>
    </row>
    <row r="18" spans="1:15">
      <c r="A18" s="1">
        <f t="shared" si="9"/>
        <v>18</v>
      </c>
      <c r="B18">
        <f t="shared" si="0"/>
        <v>594.38951606461046</v>
      </c>
      <c r="C18">
        <f t="shared" si="5"/>
        <v>1000</v>
      </c>
      <c r="D18" s="1">
        <f t="shared" si="10"/>
        <v>34.369085333845547</v>
      </c>
      <c r="E18" s="2">
        <f t="shared" si="6"/>
        <v>3.4369085333845549E-2</v>
      </c>
      <c r="F18">
        <f t="shared" si="7"/>
        <v>436.75780807091235</v>
      </c>
      <c r="G18">
        <f t="shared" si="2"/>
        <v>1000</v>
      </c>
      <c r="H18" s="1">
        <f t="shared" si="11"/>
        <v>9.1019571255873757</v>
      </c>
      <c r="I18" s="2">
        <f t="shared" si="12"/>
        <v>9.1019571255873764E-3</v>
      </c>
      <c r="J18" s="2">
        <f t="shared" si="8"/>
        <v>285.38825416754389</v>
      </c>
      <c r="K18">
        <f t="shared" si="13"/>
        <v>1000</v>
      </c>
      <c r="L18" s="3">
        <f t="shared" si="14"/>
        <v>2.0213448686258784</v>
      </c>
      <c r="M18" s="3">
        <f t="shared" si="15"/>
        <v>2.0213448686258783E-3</v>
      </c>
      <c r="N18" s="3">
        <f t="shared" si="16"/>
        <v>639.08668584556858</v>
      </c>
      <c r="O18" s="3">
        <f t="shared" si="17"/>
        <v>360.91331415443148</v>
      </c>
    </row>
    <row r="19" spans="1:15">
      <c r="A19" s="1">
        <f t="shared" si="9"/>
        <v>20</v>
      </c>
      <c r="B19">
        <f t="shared" si="0"/>
        <v>545.33040874326298</v>
      </c>
      <c r="C19">
        <f t="shared" si="5"/>
        <v>1000</v>
      </c>
      <c r="D19" s="1">
        <f t="shared" si="10"/>
        <v>31.836812664333827</v>
      </c>
      <c r="E19" s="2">
        <f t="shared" si="6"/>
        <v>3.183681266433383E-2</v>
      </c>
      <c r="F19">
        <f t="shared" si="7"/>
        <v>409.67644864623225</v>
      </c>
      <c r="G19">
        <f t="shared" si="2"/>
        <v>999.99999999999989</v>
      </c>
      <c r="H19" s="1">
        <f t="shared" si="11"/>
        <v>8.7159355705071526</v>
      </c>
      <c r="I19" s="2">
        <f t="shared" si="12"/>
        <v>8.715935570507153E-3</v>
      </c>
      <c r="J19" s="2">
        <f t="shared" si="8"/>
        <v>273.5715643955337</v>
      </c>
      <c r="K19">
        <f t="shared" si="13"/>
        <v>1000</v>
      </c>
      <c r="L19" s="3">
        <f t="shared" si="14"/>
        <v>1.9997304071689963</v>
      </c>
      <c r="M19" s="3">
        <f t="shared" si="15"/>
        <v>1.9997304071689963E-3</v>
      </c>
      <c r="N19" s="3">
        <f t="shared" si="16"/>
        <v>668.87537581109075</v>
      </c>
      <c r="O19" s="3">
        <f t="shared" si="17"/>
        <v>331.12462418890925</v>
      </c>
    </row>
    <row r="20" spans="1:15">
      <c r="A20" s="1">
        <f t="shared" si="9"/>
        <v>22</v>
      </c>
      <c r="B20">
        <f t="shared" si="0"/>
        <v>502.78036038842839</v>
      </c>
      <c r="C20">
        <f t="shared" si="5"/>
        <v>1000</v>
      </c>
      <c r="D20" s="1">
        <f t="shared" si="10"/>
        <v>29.559957726787161</v>
      </c>
      <c r="E20" s="2">
        <f t="shared" si="6"/>
        <v>2.955995772678716E-2</v>
      </c>
      <c r="F20">
        <f t="shared" si="7"/>
        <v>385.18723066153808</v>
      </c>
      <c r="G20">
        <f t="shared" si="2"/>
        <v>1000</v>
      </c>
      <c r="H20" s="1">
        <f t="shared" si="11"/>
        <v>8.3340610744217614</v>
      </c>
      <c r="I20" s="2">
        <f t="shared" si="12"/>
        <v>8.3340610744217607E-3</v>
      </c>
      <c r="J20" s="2">
        <f t="shared" si="8"/>
        <v>262.42999268779653</v>
      </c>
      <c r="K20">
        <f t="shared" si="13"/>
        <v>1000</v>
      </c>
      <c r="L20" s="3">
        <f t="shared" si="14"/>
        <v>1.9705232552903857</v>
      </c>
      <c r="M20" s="3">
        <f t="shared" si="15"/>
        <v>1.9705232552903857E-3</v>
      </c>
      <c r="N20" s="3">
        <f t="shared" si="16"/>
        <v>694.71176517214633</v>
      </c>
      <c r="O20" s="3">
        <f t="shared" si="17"/>
        <v>305.28823482785373</v>
      </c>
    </row>
    <row r="21" spans="1:15">
      <c r="A21" s="1">
        <f t="shared" si="9"/>
        <v>24</v>
      </c>
      <c r="B21">
        <f t="shared" si="0"/>
        <v>465.61411103024358</v>
      </c>
      <c r="C21">
        <f t="shared" si="5"/>
        <v>1000</v>
      </c>
      <c r="D21" s="1">
        <f t="shared" si="10"/>
        <v>27.51501996234736</v>
      </c>
      <c r="E21" s="2">
        <f t="shared" si="6"/>
        <v>2.751501996234736E-2</v>
      </c>
      <c r="F21">
        <f t="shared" si="7"/>
        <v>362.9894198396106</v>
      </c>
      <c r="G21">
        <f t="shared" si="2"/>
        <v>1000</v>
      </c>
      <c r="H21" s="1">
        <f t="shared" si="11"/>
        <v>7.9631351603539908</v>
      </c>
      <c r="I21" s="2">
        <f t="shared" si="12"/>
        <v>7.9631351603539902E-3</v>
      </c>
      <c r="J21" s="2">
        <f t="shared" si="8"/>
        <v>251.93351209577767</v>
      </c>
      <c r="K21">
        <f t="shared" si="13"/>
        <v>1000.0000000000001</v>
      </c>
      <c r="L21" s="3">
        <f t="shared" si="14"/>
        <v>1.9359072847582619</v>
      </c>
      <c r="M21" s="3">
        <f t="shared" si="15"/>
        <v>1.9359072847582616E-3</v>
      </c>
      <c r="N21" s="3">
        <f t="shared" si="16"/>
        <v>717.27911178243619</v>
      </c>
      <c r="O21" s="3">
        <f t="shared" si="17"/>
        <v>282.72088821756387</v>
      </c>
    </row>
    <row r="22" spans="1:15">
      <c r="A22" s="1">
        <f t="shared" si="9"/>
        <v>26</v>
      </c>
      <c r="B22">
        <f t="shared" si="0"/>
        <v>432.93640753150009</v>
      </c>
      <c r="C22">
        <f t="shared" si="5"/>
        <v>999.99999999999989</v>
      </c>
      <c r="D22" s="1">
        <f t="shared" si="10"/>
        <v>25.677210915554369</v>
      </c>
      <c r="E22" s="2">
        <f t="shared" si="6"/>
        <v>2.5677210915554371E-2</v>
      </c>
      <c r="F22">
        <f t="shared" si="7"/>
        <v>342.8170173920347</v>
      </c>
      <c r="G22">
        <f t="shared" si="2"/>
        <v>1000</v>
      </c>
      <c r="H22" s="1">
        <f t="shared" si="11"/>
        <v>7.6070758813340973</v>
      </c>
      <c r="I22" s="2">
        <f t="shared" si="12"/>
        <v>7.6070758813340973E-3</v>
      </c>
      <c r="J22" s="2">
        <f t="shared" si="8"/>
        <v>242.04822846852724</v>
      </c>
      <c r="K22">
        <f t="shared" si="13"/>
        <v>1000</v>
      </c>
      <c r="L22" s="3">
        <f t="shared" si="14"/>
        <v>1.897533964942788</v>
      </c>
      <c r="M22" s="3">
        <f t="shared" si="15"/>
        <v>1.8975339649427881E-3</v>
      </c>
      <c r="N22" s="3">
        <f t="shared" si="16"/>
        <v>737.12101334687304</v>
      </c>
      <c r="O22" s="3">
        <f t="shared" si="17"/>
        <v>262.87898665312684</v>
      </c>
    </row>
    <row r="23" spans="1:15">
      <c r="A23" s="1">
        <f t="shared" si="9"/>
        <v>28</v>
      </c>
      <c r="B23">
        <f t="shared" si="0"/>
        <v>404.02975616047195</v>
      </c>
      <c r="C23">
        <f t="shared" si="5"/>
        <v>1000</v>
      </c>
      <c r="D23" s="1">
        <f t="shared" si="10"/>
        <v>24.02282367414907</v>
      </c>
      <c r="E23" s="2">
        <f t="shared" si="6"/>
        <v>2.4022823674149069E-2</v>
      </c>
      <c r="F23">
        <f t="shared" si="7"/>
        <v>324.4367134137276</v>
      </c>
      <c r="G23">
        <f t="shared" si="2"/>
        <v>1000</v>
      </c>
      <c r="H23" s="1">
        <f t="shared" si="11"/>
        <v>7.2679431546728566</v>
      </c>
      <c r="I23" s="2">
        <f t="shared" si="12"/>
        <v>7.2679431546728568E-3</v>
      </c>
      <c r="J23" s="2">
        <f t="shared" si="8"/>
        <v>232.73863502332028</v>
      </c>
      <c r="K23">
        <f t="shared" si="13"/>
        <v>1000.0000000000002</v>
      </c>
      <c r="L23" s="3">
        <f t="shared" si="14"/>
        <v>1.8566573523607952</v>
      </c>
      <c r="M23" s="3">
        <f t="shared" si="15"/>
        <v>1.8566573523607949E-3</v>
      </c>
      <c r="N23" s="3">
        <f t="shared" si="16"/>
        <v>754.67313205936148</v>
      </c>
      <c r="O23" s="3">
        <f t="shared" si="17"/>
        <v>245.32686794063855</v>
      </c>
    </row>
    <row r="24" spans="1:15">
      <c r="A24" s="1">
        <f t="shared" si="9"/>
        <v>30</v>
      </c>
      <c r="B24">
        <f t="shared" si="0"/>
        <v>378.3146747951555</v>
      </c>
      <c r="C24">
        <f t="shared" si="5"/>
        <v>1000.0000000000001</v>
      </c>
      <c r="D24" s="1">
        <f t="shared" si="10"/>
        <v>22.530219352375351</v>
      </c>
      <c r="E24" s="2">
        <f t="shared" si="6"/>
        <v>2.2530219352375348E-2</v>
      </c>
      <c r="F24">
        <f t="shared" si="7"/>
        <v>307.6447725226538</v>
      </c>
      <c r="G24">
        <f t="shared" si="2"/>
        <v>1000</v>
      </c>
      <c r="H24" s="1">
        <f t="shared" si="11"/>
        <v>6.9466025849051496</v>
      </c>
      <c r="I24" s="2">
        <f t="shared" si="12"/>
        <v>6.94660258490515E-3</v>
      </c>
      <c r="J24" s="2">
        <f t="shared" si="8"/>
        <v>223.96907309857386</v>
      </c>
      <c r="K24">
        <f t="shared" si="13"/>
        <v>1000</v>
      </c>
      <c r="L24" s="3">
        <f t="shared" si="14"/>
        <v>1.8142316037221125</v>
      </c>
      <c r="M24" s="3">
        <f t="shared" si="15"/>
        <v>1.8142316037221124E-3</v>
      </c>
      <c r="N24" s="3">
        <f t="shared" si="16"/>
        <v>770.28732946438174</v>
      </c>
      <c r="O24" s="3">
        <f t="shared" si="17"/>
        <v>229.7126705356184</v>
      </c>
    </row>
    <row r="25" spans="1:15">
      <c r="A25" s="1">
        <f t="shared" si="9"/>
        <v>32</v>
      </c>
      <c r="B25">
        <f t="shared" si="0"/>
        <v>355.31950901142409</v>
      </c>
      <c r="C25">
        <f t="shared" si="5"/>
        <v>999.99999999999989</v>
      </c>
      <c r="D25" s="1">
        <f t="shared" si="10"/>
        <v>21.180127979714989</v>
      </c>
      <c r="E25" s="2">
        <f t="shared" si="6"/>
        <v>2.118012797971499E-2</v>
      </c>
      <c r="F25">
        <f t="shared" si="7"/>
        <v>292.26362927849397</v>
      </c>
      <c r="G25">
        <f t="shared" si="2"/>
        <v>1000</v>
      </c>
      <c r="H25" s="1">
        <f t="shared" si="11"/>
        <v>6.6431592715159029</v>
      </c>
      <c r="I25" s="2">
        <f t="shared" si="12"/>
        <v>6.6431592715159027E-3</v>
      </c>
      <c r="J25" s="2">
        <f t="shared" si="8"/>
        <v>215.70466244452342</v>
      </c>
      <c r="K25">
        <f t="shared" si="13"/>
        <v>1000</v>
      </c>
      <c r="L25" s="3">
        <f t="shared" si="14"/>
        <v>1.7709826623059539</v>
      </c>
      <c r="M25" s="3">
        <f t="shared" si="15"/>
        <v>1.7709826623059539E-3</v>
      </c>
      <c r="N25" s="3">
        <f t="shared" si="16"/>
        <v>784.24999412826321</v>
      </c>
      <c r="O25" s="3">
        <f t="shared" si="17"/>
        <v>215.7500058717367</v>
      </c>
    </row>
    <row r="26" spans="1:15">
      <c r="A26" s="1">
        <f t="shared" si="9"/>
        <v>34</v>
      </c>
      <c r="B26">
        <f t="shared" si="0"/>
        <v>334.65745092553698</v>
      </c>
      <c r="C26">
        <f t="shared" si="5"/>
        <v>1000</v>
      </c>
      <c r="D26" s="1">
        <f t="shared" si="10"/>
        <v>19.955619634647721</v>
      </c>
      <c r="E26" s="2">
        <f t="shared" si="6"/>
        <v>1.9955619634647721E-2</v>
      </c>
      <c r="F26">
        <f t="shared" si="7"/>
        <v>278.13857812706954</v>
      </c>
      <c r="G26">
        <f t="shared" si="2"/>
        <v>1000</v>
      </c>
      <c r="H26" s="1">
        <f t="shared" si="11"/>
        <v>6.3572431135586154</v>
      </c>
      <c r="I26" s="2">
        <f t="shared" si="12"/>
        <v>6.357243113558615E-3</v>
      </c>
      <c r="J26" s="2">
        <f t="shared" si="8"/>
        <v>207.91187460369869</v>
      </c>
      <c r="K26">
        <f t="shared" si="13"/>
        <v>1000.0000000000001</v>
      </c>
      <c r="L26" s="3">
        <f t="shared" si="14"/>
        <v>1.7274616768122488</v>
      </c>
      <c r="M26" s="3">
        <f t="shared" si="15"/>
        <v>1.7274616768122486E-3</v>
      </c>
      <c r="N26" s="3">
        <f t="shared" si="16"/>
        <v>796.79599579801391</v>
      </c>
      <c r="O26" s="3">
        <f t="shared" si="17"/>
        <v>203.20400420198604</v>
      </c>
    </row>
    <row r="27" spans="1:15">
      <c r="A27" s="1">
        <f t="shared" si="9"/>
        <v>36</v>
      </c>
      <c r="B27">
        <f t="shared" si="0"/>
        <v>316.00895439713827</v>
      </c>
      <c r="C27">
        <f t="shared" si="5"/>
        <v>1000.0000000000001</v>
      </c>
      <c r="D27" s="1">
        <f t="shared" si="10"/>
        <v>18.841928203533548</v>
      </c>
      <c r="E27" s="2">
        <f t="shared" si="6"/>
        <v>1.8841928203533545E-2</v>
      </c>
      <c r="F27">
        <f t="shared" si="7"/>
        <v>265.13473292375392</v>
      </c>
      <c r="G27">
        <f t="shared" si="2"/>
        <v>1000</v>
      </c>
      <c r="H27" s="1">
        <f t="shared" si="11"/>
        <v>6.0881970927355935</v>
      </c>
      <c r="I27" s="2">
        <f t="shared" si="12"/>
        <v>6.0881970927355936E-3</v>
      </c>
      <c r="J27" s="2">
        <f t="shared" si="8"/>
        <v>200.55886564379952</v>
      </c>
      <c r="K27">
        <f t="shared" si="13"/>
        <v>1000</v>
      </c>
      <c r="L27" s="3">
        <f t="shared" si="14"/>
        <v>1.6840852377457445</v>
      </c>
      <c r="M27" s="3">
        <f t="shared" si="15"/>
        <v>1.6840852377457444E-3</v>
      </c>
      <c r="N27" s="3">
        <f t="shared" si="16"/>
        <v>808.1193628900578</v>
      </c>
      <c r="O27" s="3">
        <f t="shared" si="17"/>
        <v>191.88063710994234</v>
      </c>
    </row>
    <row r="28" spans="1:15">
      <c r="A28" s="1">
        <f t="shared" si="9"/>
        <v>38</v>
      </c>
      <c r="B28">
        <f t="shared" si="0"/>
        <v>299.10819485202808</v>
      </c>
      <c r="C28">
        <f t="shared" si="5"/>
        <v>1000</v>
      </c>
      <c r="D28" s="1">
        <f t="shared" si="10"/>
        <v>17.82622061083126</v>
      </c>
      <c r="E28" s="2">
        <f t="shared" si="6"/>
        <v>1.7826220610831261E-2</v>
      </c>
      <c r="F28">
        <f t="shared" si="7"/>
        <v>253.13432032952815</v>
      </c>
      <c r="G28">
        <f t="shared" si="2"/>
        <v>1000</v>
      </c>
      <c r="H28" s="1">
        <f t="shared" si="11"/>
        <v>5.8352015554473589</v>
      </c>
      <c r="I28" s="2">
        <f t="shared" si="12"/>
        <v>5.835201555447359E-3</v>
      </c>
      <c r="J28" s="2">
        <f t="shared" si="8"/>
        <v>193.61564704613522</v>
      </c>
      <c r="K28">
        <f t="shared" si="13"/>
        <v>1000.0000000000001</v>
      </c>
      <c r="L28" s="3">
        <f t="shared" si="14"/>
        <v>1.6411659497799052</v>
      </c>
      <c r="M28" s="3">
        <f t="shared" si="15"/>
        <v>1.6411659497799049E-3</v>
      </c>
      <c r="N28" s="3">
        <f t="shared" si="16"/>
        <v>818.38150408584852</v>
      </c>
      <c r="O28" s="3">
        <f t="shared" si="17"/>
        <v>181.61849591415142</v>
      </c>
    </row>
    <row r="29" spans="1:15">
      <c r="A29" s="1">
        <f t="shared" si="9"/>
        <v>40</v>
      </c>
      <c r="B29">
        <f t="shared" si="0"/>
        <v>283.73257122736464</v>
      </c>
      <c r="C29">
        <f t="shared" si="5"/>
        <v>1000</v>
      </c>
      <c r="D29" s="1">
        <f t="shared" si="10"/>
        <v>16.897357674012028</v>
      </c>
      <c r="E29" s="2">
        <f t="shared" si="6"/>
        <v>1.6897357674012028E-2</v>
      </c>
      <c r="F29">
        <f t="shared" si="7"/>
        <v>242.0343144727353</v>
      </c>
      <c r="G29">
        <f t="shared" si="2"/>
        <v>1000.0000000000001</v>
      </c>
      <c r="H29" s="1">
        <f t="shared" si="11"/>
        <v>5.5973559510369668</v>
      </c>
      <c r="I29" s="2">
        <f t="shared" si="12"/>
        <v>5.5973559510369662E-3</v>
      </c>
      <c r="J29" s="2">
        <f t="shared" si="8"/>
        <v>187.05414859699121</v>
      </c>
      <c r="K29">
        <f t="shared" si="13"/>
        <v>1000</v>
      </c>
      <c r="L29" s="3">
        <f t="shared" si="14"/>
        <v>1.598935829201491</v>
      </c>
      <c r="M29" s="3">
        <f t="shared" si="15"/>
        <v>1.598935829201491E-3</v>
      </c>
      <c r="N29" s="3">
        <f t="shared" si="16"/>
        <v>827.71758275074421</v>
      </c>
      <c r="O29" s="3">
        <f t="shared" si="17"/>
        <v>172.28241724925581</v>
      </c>
    </row>
    <row r="30" spans="1:15">
      <c r="A30" s="1">
        <f t="shared" si="9"/>
        <v>42</v>
      </c>
      <c r="B30">
        <f t="shared" si="0"/>
        <v>269.69450805613326</v>
      </c>
      <c r="C30">
        <f t="shared" si="5"/>
        <v>1000</v>
      </c>
      <c r="D30" s="1">
        <f t="shared" si="10"/>
        <v>16.04566830203942</v>
      </c>
      <c r="E30" s="2">
        <f t="shared" si="6"/>
        <v>1.604566830203942E-2</v>
      </c>
      <c r="F30">
        <f t="shared" si="7"/>
        <v>231.74439269815443</v>
      </c>
      <c r="G30">
        <f t="shared" si="2"/>
        <v>1000</v>
      </c>
      <c r="H30" s="1">
        <f t="shared" si="11"/>
        <v>5.3737321255533121</v>
      </c>
      <c r="I30" s="2">
        <f t="shared" si="12"/>
        <v>5.3737321255533125E-3</v>
      </c>
      <c r="J30" s="2">
        <f t="shared" si="8"/>
        <v>180.84821026373626</v>
      </c>
      <c r="K30">
        <f t="shared" si="13"/>
        <v>999.99999999999977</v>
      </c>
      <c r="L30" s="3">
        <f t="shared" si="14"/>
        <v>1.5575643188054831</v>
      </c>
      <c r="M30" s="3">
        <f t="shared" si="15"/>
        <v>1.5575643188054835E-3</v>
      </c>
      <c r="N30" s="3">
        <f t="shared" si="16"/>
        <v>836.24149470831594</v>
      </c>
      <c r="O30" s="3">
        <f t="shared" si="17"/>
        <v>163.75850529168412</v>
      </c>
    </row>
    <row r="31" spans="1:15">
      <c r="A31" s="1">
        <f t="shared" si="9"/>
        <v>44</v>
      </c>
      <c r="B31">
        <f t="shared" si="0"/>
        <v>256.83500750315039</v>
      </c>
      <c r="C31">
        <f t="shared" si="5"/>
        <v>1000.0000000000001</v>
      </c>
      <c r="D31" s="1">
        <f t="shared" si="10"/>
        <v>15.262746041170558</v>
      </c>
      <c r="E31" s="2">
        <f t="shared" si="6"/>
        <v>1.5262746041170557E-2</v>
      </c>
      <c r="F31">
        <f t="shared" si="7"/>
        <v>222.18518049019059</v>
      </c>
      <c r="G31">
        <f t="shared" si="2"/>
        <v>1000</v>
      </c>
      <c r="H31" s="1">
        <f t="shared" si="11"/>
        <v>5.1634085243555603</v>
      </c>
      <c r="I31" s="2">
        <f t="shared" si="12"/>
        <v>5.1634085243555602E-3</v>
      </c>
      <c r="J31" s="2">
        <f t="shared" si="8"/>
        <v>174.97352851346784</v>
      </c>
      <c r="K31">
        <f t="shared" si="13"/>
        <v>1000</v>
      </c>
      <c r="L31" s="3">
        <f t="shared" si="14"/>
        <v>1.5171722295896111</v>
      </c>
      <c r="M31" s="3">
        <f t="shared" si="15"/>
        <v>1.517172229589611E-3</v>
      </c>
      <c r="N31" s="3">
        <f t="shared" si="16"/>
        <v>844.04978344408721</v>
      </c>
      <c r="O31" s="3">
        <f t="shared" si="17"/>
        <v>155.9502165559129</v>
      </c>
    </row>
    <row r="32" spans="1:15">
      <c r="A32" s="1">
        <f t="shared" si="9"/>
        <v>46</v>
      </c>
      <c r="B32">
        <f t="shared" si="0"/>
        <v>245.01854171001946</v>
      </c>
      <c r="C32">
        <f t="shared" si="5"/>
        <v>1000</v>
      </c>
      <c r="D32" s="1">
        <f t="shared" si="10"/>
        <v>14.541270479997877</v>
      </c>
      <c r="E32" s="2">
        <f t="shared" si="6"/>
        <v>1.4541270479997877E-2</v>
      </c>
      <c r="F32">
        <f t="shared" si="7"/>
        <v>213.28675029468783</v>
      </c>
      <c r="G32">
        <f t="shared" si="2"/>
        <v>1000.0000000000002</v>
      </c>
      <c r="H32" s="1">
        <f t="shared" si="11"/>
        <v>4.9654915590093891</v>
      </c>
      <c r="I32" s="2">
        <f t="shared" si="12"/>
        <v>4.9654915590093881E-3</v>
      </c>
      <c r="J32" s="2">
        <f t="shared" si="8"/>
        <v>169.40757459151089</v>
      </c>
      <c r="K32">
        <f t="shared" si="13"/>
        <v>999.99999999999989</v>
      </c>
      <c r="L32" s="3">
        <f t="shared" si="14"/>
        <v>1.4778425771665122</v>
      </c>
      <c r="M32" s="3">
        <f t="shared" si="15"/>
        <v>1.4778425771665123E-3</v>
      </c>
      <c r="N32" s="3">
        <f t="shared" si="16"/>
        <v>851.2247414736762</v>
      </c>
      <c r="O32" s="3">
        <f t="shared" si="17"/>
        <v>148.7752585263238</v>
      </c>
    </row>
    <row r="33" spans="1:15">
      <c r="A33" s="1">
        <f t="shared" si="9"/>
        <v>48</v>
      </c>
      <c r="B33">
        <f t="shared" si="0"/>
        <v>234.12897880226782</v>
      </c>
      <c r="C33">
        <f t="shared" si="5"/>
        <v>1000</v>
      </c>
      <c r="D33" s="1">
        <f t="shared" si="10"/>
        <v>13.874852847965446</v>
      </c>
      <c r="E33" s="2">
        <f t="shared" si="6"/>
        <v>1.3874852847965446E-2</v>
      </c>
      <c r="F33">
        <f t="shared" si="7"/>
        <v>204.98733984408918</v>
      </c>
      <c r="G33">
        <f t="shared" si="2"/>
        <v>1000</v>
      </c>
      <c r="H33" s="1">
        <f t="shared" si="11"/>
        <v>4.7791283505280919</v>
      </c>
      <c r="I33" s="2">
        <f t="shared" si="12"/>
        <v>4.7791283505280923E-3</v>
      </c>
      <c r="J33" s="2">
        <f t="shared" si="8"/>
        <v>164.12949677164843</v>
      </c>
      <c r="K33">
        <f t="shared" si="13"/>
        <v>999.99999999999977</v>
      </c>
      <c r="L33" s="3">
        <f t="shared" si="14"/>
        <v>1.4396290355885704</v>
      </c>
      <c r="M33" s="3">
        <f t="shared" si="15"/>
        <v>1.4396290355885707E-3</v>
      </c>
      <c r="N33" s="3">
        <f t="shared" si="16"/>
        <v>857.83688407126294</v>
      </c>
      <c r="O33" s="3">
        <f t="shared" si="17"/>
        <v>142.163115928737</v>
      </c>
    </row>
    <row r="34" spans="1:15">
      <c r="A34" s="1">
        <f t="shared" si="9"/>
        <v>50</v>
      </c>
      <c r="B34">
        <f t="shared" si="0"/>
        <v>224.06631160397029</v>
      </c>
      <c r="C34">
        <f t="shared" si="5"/>
        <v>999.99999999999989</v>
      </c>
      <c r="D34" s="1">
        <f t="shared" si="10"/>
        <v>13.257903720724361</v>
      </c>
      <c r="E34" s="2">
        <f t="shared" si="6"/>
        <v>1.3257903720724362E-2</v>
      </c>
      <c r="F34">
        <f t="shared" si="7"/>
        <v>197.23225844308595</v>
      </c>
      <c r="G34">
        <f t="shared" si="2"/>
        <v>1000</v>
      </c>
      <c r="H34" s="1">
        <f t="shared" si="11"/>
        <v>4.6035137005974773</v>
      </c>
      <c r="I34" s="2">
        <f t="shared" si="12"/>
        <v>4.6035137005974777E-3</v>
      </c>
      <c r="J34" s="2">
        <f t="shared" si="8"/>
        <v>159.12001475625433</v>
      </c>
      <c r="K34">
        <f t="shared" si="13"/>
        <v>1000</v>
      </c>
      <c r="L34" s="3">
        <f t="shared" si="14"/>
        <v>1.4025625528080292</v>
      </c>
      <c r="M34" s="3">
        <f t="shared" si="15"/>
        <v>1.4025625528080292E-3</v>
      </c>
      <c r="N34" s="3">
        <f t="shared" si="16"/>
        <v>863.94693559406915</v>
      </c>
      <c r="O34" s="3">
        <f t="shared" si="17"/>
        <v>136.05306440593074</v>
      </c>
    </row>
    <row r="35" spans="1:15">
      <c r="A35" s="1"/>
      <c r="C35" s="1"/>
      <c r="D35" s="1"/>
      <c r="F35" s="1"/>
      <c r="G35" s="1"/>
      <c r="H35" s="1"/>
    </row>
    <row r="36" spans="1:15">
      <c r="A36" s="1"/>
      <c r="B36" s="1"/>
      <c r="C36" s="1"/>
      <c r="D36" s="1"/>
      <c r="F36" s="1"/>
      <c r="G36" s="1"/>
      <c r="H36" s="1"/>
    </row>
    <row r="37" spans="1:15">
      <c r="A37" s="1" t="s">
        <v>28</v>
      </c>
      <c r="B37" s="1" t="s">
        <v>12</v>
      </c>
      <c r="C37" s="1">
        <v>400</v>
      </c>
      <c r="D37" s="1"/>
      <c r="F37" s="1"/>
      <c r="G37" s="1"/>
      <c r="H37" s="1"/>
    </row>
    <row r="38" spans="1:15">
      <c r="A38" s="1" t="s">
        <v>9</v>
      </c>
      <c r="B38" s="1" t="s">
        <v>16</v>
      </c>
      <c r="C38" s="1" t="s">
        <v>24</v>
      </c>
      <c r="D38" s="1" t="s">
        <v>25</v>
      </c>
      <c r="E38" s="2" t="s">
        <v>23</v>
      </c>
      <c r="F38" s="1" t="s">
        <v>26</v>
      </c>
      <c r="G38" s="1" t="s">
        <v>27</v>
      </c>
      <c r="I38" s="2" t="s">
        <v>29</v>
      </c>
    </row>
    <row r="39" spans="1:15">
      <c r="A39" s="1">
        <v>0</v>
      </c>
      <c r="B39" s="1">
        <v>0</v>
      </c>
      <c r="C39" s="1">
        <v>0</v>
      </c>
      <c r="D39" s="1"/>
      <c r="E39" s="2">
        <f>$A$3/($C$3*B39 + $D$3 *$E$3*C$37)</f>
        <v>1646.9038208168645</v>
      </c>
      <c r="F39">
        <f>$C$3*B39*E39 +$D$3*E39*$E$3*C$37</f>
        <v>1000.0000000000002</v>
      </c>
      <c r="G39" s="1">
        <f t="shared" ref="G39:G62" si="18">C39^(0.5)*E39^(1.5)*$C$37^(-1.25)</f>
        <v>0</v>
      </c>
    </row>
    <row r="40" spans="1:15">
      <c r="A40" s="1">
        <v>1</v>
      </c>
      <c r="B40" s="1">
        <f>A40^2</f>
        <v>1</v>
      </c>
      <c r="C40" s="1">
        <f>0.18*B40</f>
        <v>0.18</v>
      </c>
      <c r="D40" s="1">
        <f>G40/F40</f>
        <v>1.3548092124816561E-2</v>
      </c>
      <c r="E40" s="2">
        <f>$A$3/($C$3*B40 + $D$3 *$E$3*C$37)</f>
        <v>1483.2393948383271</v>
      </c>
      <c r="F40">
        <f>$C$3*B40*E40 +$D$3*E40*$E$3*C$37</f>
        <v>1000.0000000000002</v>
      </c>
      <c r="G40" s="1">
        <f>C40^(0.5)*E40^(1.5)*$C$37^(-1.25)</f>
        <v>13.548092124816565</v>
      </c>
      <c r="I40" s="2">
        <f>E40*B40</f>
        <v>1483.2393948383271</v>
      </c>
    </row>
    <row r="41" spans="1:15">
      <c r="A41" s="1">
        <f>A40+1</f>
        <v>2</v>
      </c>
      <c r="B41" s="1">
        <f t="shared" ref="B41:B62" si="19">A41^2</f>
        <v>4</v>
      </c>
      <c r="C41" s="1">
        <f t="shared" ref="C41:C62" si="20">0.18*B41</f>
        <v>0.72</v>
      </c>
      <c r="D41" s="1">
        <f t="shared" ref="D41:D55" si="21">G41/F41</f>
        <v>1.8320203588137556E-2</v>
      </c>
      <c r="E41" s="2">
        <f t="shared" ref="E41:E55" si="22">$A$3/($C$3*B41 + $D$3 *0.66*400)</f>
        <v>1142.5959780621572</v>
      </c>
      <c r="F41">
        <f t="shared" ref="F41:F55" si="23">$C$3*B41*E41 +$D$3*E41*0.66*400</f>
        <v>1000</v>
      </c>
      <c r="G41" s="1">
        <f>C41^(0.5)*E41^(1.5)*$C$37^(-1.25)</f>
        <v>18.320203588137556</v>
      </c>
      <c r="I41" s="2">
        <f t="shared" ref="I41:I113" si="24">E41*B41</f>
        <v>4570.3839122486288</v>
      </c>
    </row>
    <row r="42" spans="1:15">
      <c r="A42" s="1">
        <f t="shared" ref="A42:A55" si="25">A41+1</f>
        <v>3</v>
      </c>
      <c r="B42" s="1">
        <f t="shared" si="19"/>
        <v>9</v>
      </c>
      <c r="C42" s="1">
        <f t="shared" si="20"/>
        <v>1.6199999999999999</v>
      </c>
      <c r="D42" s="1">
        <f t="shared" si="21"/>
        <v>1.6900392667142206E-2</v>
      </c>
      <c r="E42" s="2">
        <f t="shared" si="22"/>
        <v>826.30970087588832</v>
      </c>
      <c r="F42">
        <f t="shared" si="23"/>
        <v>1000</v>
      </c>
      <c r="G42" s="1">
        <f t="shared" ref="G41:G62" si="26">C42^(0.5)*E42^(1.5)*$C$37^(-1.25)</f>
        <v>16.900392667142206</v>
      </c>
      <c r="I42" s="2">
        <f t="shared" si="24"/>
        <v>7436.7873078829953</v>
      </c>
    </row>
    <row r="43" spans="1:15">
      <c r="A43" s="1">
        <f t="shared" si="25"/>
        <v>4</v>
      </c>
      <c r="B43" s="1">
        <f t="shared" si="19"/>
        <v>16</v>
      </c>
      <c r="C43" s="1">
        <f t="shared" si="20"/>
        <v>2.88</v>
      </c>
      <c r="D43" s="1">
        <f t="shared" si="21"/>
        <v>1.3786931453774022E-2</v>
      </c>
      <c r="E43" s="2">
        <f t="shared" si="22"/>
        <v>595.52167698904236</v>
      </c>
      <c r="F43">
        <f t="shared" si="23"/>
        <v>1000</v>
      </c>
      <c r="G43" s="1">
        <f t="shared" si="26"/>
        <v>13.786931453774022</v>
      </c>
      <c r="I43" s="2">
        <f t="shared" si="24"/>
        <v>9528.3468318246778</v>
      </c>
    </row>
    <row r="44" spans="1:15">
      <c r="A44" s="1">
        <f t="shared" si="25"/>
        <v>5</v>
      </c>
      <c r="B44" s="1">
        <f t="shared" si="19"/>
        <v>25</v>
      </c>
      <c r="C44" s="1">
        <f t="shared" si="20"/>
        <v>4.5</v>
      </c>
      <c r="D44" s="1">
        <f t="shared" si="21"/>
        <v>1.0876789312777451E-2</v>
      </c>
      <c r="E44" s="2">
        <f t="shared" si="22"/>
        <v>438.1736920515292</v>
      </c>
      <c r="F44">
        <f t="shared" si="23"/>
        <v>1000</v>
      </c>
      <c r="G44" s="1">
        <f t="shared" si="26"/>
        <v>10.876789312777451</v>
      </c>
      <c r="I44" s="2">
        <f t="shared" si="24"/>
        <v>10954.34230128823</v>
      </c>
    </row>
    <row r="45" spans="1:15">
      <c r="A45" s="1">
        <f t="shared" si="25"/>
        <v>6</v>
      </c>
      <c r="B45" s="1">
        <f t="shared" si="19"/>
        <v>36</v>
      </c>
      <c r="C45" s="1">
        <f t="shared" si="20"/>
        <v>6.4799999999999995</v>
      </c>
      <c r="D45" s="1">
        <f t="shared" si="21"/>
        <v>8.5777757759613014E-3</v>
      </c>
      <c r="E45" s="2">
        <f t="shared" si="22"/>
        <v>331.21356650768422</v>
      </c>
      <c r="F45">
        <f t="shared" si="23"/>
        <v>1000.0000000000002</v>
      </c>
      <c r="G45" s="1">
        <f t="shared" si="26"/>
        <v>8.5777757759613031</v>
      </c>
      <c r="I45" s="2">
        <f t="shared" si="24"/>
        <v>11923.688394276633</v>
      </c>
    </row>
    <row r="46" spans="1:15">
      <c r="A46" s="1">
        <f t="shared" si="25"/>
        <v>7</v>
      </c>
      <c r="B46" s="1">
        <f t="shared" si="19"/>
        <v>49</v>
      </c>
      <c r="C46" s="1">
        <f t="shared" si="20"/>
        <v>8.82</v>
      </c>
      <c r="D46" s="1">
        <f t="shared" si="21"/>
        <v>6.8422889284102143E-3</v>
      </c>
      <c r="E46" s="2">
        <f t="shared" si="22"/>
        <v>257.05619248367691</v>
      </c>
      <c r="F46">
        <f t="shared" si="23"/>
        <v>1000</v>
      </c>
      <c r="G46" s="1">
        <f t="shared" si="26"/>
        <v>6.8422889284102144</v>
      </c>
      <c r="I46" s="2">
        <f t="shared" si="24"/>
        <v>12595.753431700168</v>
      </c>
    </row>
    <row r="47" spans="1:15">
      <c r="A47" s="1">
        <f t="shared" si="25"/>
        <v>8</v>
      </c>
      <c r="B47" s="1">
        <f t="shared" si="19"/>
        <v>64</v>
      </c>
      <c r="C47" s="1">
        <f t="shared" si="20"/>
        <v>11.52</v>
      </c>
      <c r="D47" s="1">
        <f t="shared" si="21"/>
        <v>5.5398191868441709E-3</v>
      </c>
      <c r="E47" s="2">
        <f t="shared" si="22"/>
        <v>204.28174538323256</v>
      </c>
      <c r="F47">
        <f t="shared" si="23"/>
        <v>1000</v>
      </c>
      <c r="G47" s="1">
        <f t="shared" si="26"/>
        <v>5.5398191868441709</v>
      </c>
      <c r="I47" s="2">
        <f t="shared" si="24"/>
        <v>13074.031704526884</v>
      </c>
    </row>
    <row r="48" spans="1:15">
      <c r="A48" s="1">
        <f t="shared" si="25"/>
        <v>9</v>
      </c>
      <c r="B48" s="1">
        <f t="shared" si="19"/>
        <v>81</v>
      </c>
      <c r="C48" s="1">
        <f t="shared" si="20"/>
        <v>14.58</v>
      </c>
      <c r="D48" s="1">
        <f t="shared" si="21"/>
        <v>4.5538028237759563E-3</v>
      </c>
      <c r="E48" s="2">
        <f t="shared" si="22"/>
        <v>165.72205097610288</v>
      </c>
      <c r="F48">
        <f t="shared" si="23"/>
        <v>1000.0000000000001</v>
      </c>
      <c r="G48" s="1">
        <f t="shared" si="26"/>
        <v>4.5538028237759569</v>
      </c>
      <c r="I48" s="2">
        <f t="shared" si="24"/>
        <v>13423.486129064333</v>
      </c>
    </row>
    <row r="49" spans="1:9">
      <c r="A49" s="1">
        <f t="shared" si="25"/>
        <v>10</v>
      </c>
      <c r="B49" s="1">
        <f t="shared" si="19"/>
        <v>100</v>
      </c>
      <c r="C49" s="1">
        <f t="shared" si="20"/>
        <v>18</v>
      </c>
      <c r="D49" s="1">
        <f t="shared" si="21"/>
        <v>3.7969490716124525E-3</v>
      </c>
      <c r="E49" s="2">
        <f t="shared" si="22"/>
        <v>136.8513247208233</v>
      </c>
      <c r="F49">
        <f t="shared" si="23"/>
        <v>1000.0000000000001</v>
      </c>
      <c r="G49" s="1">
        <f t="shared" si="26"/>
        <v>3.796949071612453</v>
      </c>
      <c r="I49" s="2">
        <f t="shared" si="24"/>
        <v>13685.13247208233</v>
      </c>
    </row>
    <row r="50" spans="1:9">
      <c r="A50" s="1">
        <f t="shared" si="25"/>
        <v>11</v>
      </c>
      <c r="B50" s="1">
        <f t="shared" si="19"/>
        <v>121</v>
      </c>
      <c r="C50" s="1">
        <f t="shared" si="20"/>
        <v>21.779999999999998</v>
      </c>
      <c r="D50" s="1">
        <f t="shared" si="21"/>
        <v>3.2071011956707638E-3</v>
      </c>
      <c r="E50" s="2">
        <f t="shared" si="22"/>
        <v>114.75522710059441</v>
      </c>
      <c r="F50">
        <f t="shared" si="23"/>
        <v>999.99999999999989</v>
      </c>
      <c r="G50" s="1">
        <f t="shared" si="26"/>
        <v>3.2071011956707633</v>
      </c>
      <c r="I50" s="2">
        <f t="shared" si="24"/>
        <v>13885.382479171923</v>
      </c>
    </row>
    <row r="51" spans="1:9">
      <c r="A51" s="1">
        <f t="shared" si="25"/>
        <v>12</v>
      </c>
      <c r="B51" s="1">
        <f t="shared" si="19"/>
        <v>144</v>
      </c>
      <c r="C51" s="1">
        <f t="shared" si="20"/>
        <v>25.919999999999998</v>
      </c>
      <c r="D51" s="1">
        <f t="shared" si="21"/>
        <v>2.7404779220798199E-3</v>
      </c>
      <c r="E51" s="2">
        <f t="shared" si="22"/>
        <v>97.511506357750207</v>
      </c>
      <c r="F51">
        <f t="shared" si="23"/>
        <v>999.99999999999989</v>
      </c>
      <c r="G51" s="1">
        <f t="shared" si="26"/>
        <v>2.7404779220798194</v>
      </c>
      <c r="I51" s="2">
        <f t="shared" si="24"/>
        <v>14041.65691551603</v>
      </c>
    </row>
    <row r="52" spans="1:9">
      <c r="A52" s="1">
        <f t="shared" si="25"/>
        <v>13</v>
      </c>
      <c r="B52" s="1">
        <f t="shared" si="19"/>
        <v>169</v>
      </c>
      <c r="C52" s="1">
        <f t="shared" si="20"/>
        <v>30.419999999999998</v>
      </c>
      <c r="D52" s="1">
        <f t="shared" si="21"/>
        <v>2.3660996386277288E-3</v>
      </c>
      <c r="E52" s="2">
        <f t="shared" si="22"/>
        <v>83.820891519002188</v>
      </c>
      <c r="F52">
        <f t="shared" si="23"/>
        <v>999.99999999999989</v>
      </c>
      <c r="G52" s="1">
        <f t="shared" si="26"/>
        <v>2.3660996386277287</v>
      </c>
      <c r="I52" s="2">
        <f t="shared" si="24"/>
        <v>14165.73066671137</v>
      </c>
    </row>
    <row r="53" spans="1:9">
      <c r="A53" s="1">
        <f t="shared" si="25"/>
        <v>14</v>
      </c>
      <c r="B53" s="1">
        <f t="shared" si="19"/>
        <v>196</v>
      </c>
      <c r="C53" s="1">
        <f t="shared" si="20"/>
        <v>35.28</v>
      </c>
      <c r="D53" s="1">
        <f t="shared" si="21"/>
        <v>2.0618028268807689E-3</v>
      </c>
      <c r="E53" s="2">
        <f t="shared" si="22"/>
        <v>72.784441597764058</v>
      </c>
      <c r="F53">
        <f t="shared" si="23"/>
        <v>1000</v>
      </c>
      <c r="G53" s="1">
        <f t="shared" si="26"/>
        <v>2.0618028268807689</v>
      </c>
      <c r="I53" s="2">
        <f t="shared" si="24"/>
        <v>14265.750553161755</v>
      </c>
    </row>
    <row r="54" spans="1:9">
      <c r="A54" s="1">
        <f t="shared" si="25"/>
        <v>15</v>
      </c>
      <c r="B54" s="1">
        <f t="shared" si="19"/>
        <v>225</v>
      </c>
      <c r="C54" s="1">
        <f t="shared" si="20"/>
        <v>40.5</v>
      </c>
      <c r="D54" s="1">
        <f t="shared" si="21"/>
        <v>1.8115154403632087E-3</v>
      </c>
      <c r="E54" s="2">
        <f t="shared" si="22"/>
        <v>63.766563364834006</v>
      </c>
      <c r="F54">
        <f t="shared" si="23"/>
        <v>999.99999999999989</v>
      </c>
      <c r="G54" s="1">
        <f t="shared" si="26"/>
        <v>1.8115154403632086</v>
      </c>
      <c r="I54" s="2">
        <f t="shared" si="24"/>
        <v>14347.476757087652</v>
      </c>
    </row>
    <row r="55" spans="1:9">
      <c r="A55" s="1">
        <f t="shared" si="25"/>
        <v>16</v>
      </c>
      <c r="B55" s="1">
        <f t="shared" si="19"/>
        <v>256</v>
      </c>
      <c r="C55" s="1">
        <f t="shared" si="20"/>
        <v>46.08</v>
      </c>
      <c r="D55" s="1">
        <f t="shared" si="21"/>
        <v>1.6034157629404595E-3</v>
      </c>
      <c r="E55" s="2">
        <f t="shared" si="22"/>
        <v>56.308842740663991</v>
      </c>
      <c r="F55">
        <f t="shared" si="23"/>
        <v>1000</v>
      </c>
      <c r="G55" s="1">
        <f t="shared" si="26"/>
        <v>1.6034157629404595</v>
      </c>
      <c r="I55" s="2">
        <f t="shared" si="24"/>
        <v>14415.063741609982</v>
      </c>
    </row>
    <row r="56" spans="1:9">
      <c r="A56" s="1">
        <f t="shared" ref="A56:A62" si="27">A55+1</f>
        <v>17</v>
      </c>
      <c r="B56" s="1">
        <f t="shared" si="19"/>
        <v>289</v>
      </c>
      <c r="C56" s="1">
        <f t="shared" si="20"/>
        <v>52.019999999999996</v>
      </c>
      <c r="D56" s="1">
        <f t="shared" ref="D56:D62" si="28">G56/F56</f>
        <v>1.4286852574769847E-3</v>
      </c>
      <c r="E56" s="2">
        <f t="shared" ref="E56:E62" si="29">$A$3/($C$3*B56 + $D$3 *0.66*400)</f>
        <v>50.07461117064426</v>
      </c>
      <c r="F56">
        <f t="shared" ref="F56:F62" si="30">$C$3*B56*E56 +$D$3*E56*0.66*400</f>
        <v>999.99999999999989</v>
      </c>
      <c r="G56" s="1">
        <f t="shared" si="26"/>
        <v>1.4286852574769846</v>
      </c>
      <c r="I56" s="2">
        <f t="shared" ref="I56:I62" si="31">E56*B56</f>
        <v>14471.562628316191</v>
      </c>
    </row>
    <row r="57" spans="1:9">
      <c r="A57" s="1">
        <f t="shared" si="27"/>
        <v>18</v>
      </c>
      <c r="B57" s="1">
        <f t="shared" si="19"/>
        <v>324</v>
      </c>
      <c r="C57" s="1">
        <f t="shared" si="20"/>
        <v>58.32</v>
      </c>
      <c r="D57" s="1">
        <f t="shared" si="28"/>
        <v>1.2806563084546624E-3</v>
      </c>
      <c r="E57" s="2">
        <f t="shared" si="29"/>
        <v>44.81250448125045</v>
      </c>
      <c r="F57">
        <f t="shared" si="30"/>
        <v>1000.0000000000001</v>
      </c>
      <c r="G57" s="1">
        <f t="shared" si="26"/>
        <v>1.2806563084546625</v>
      </c>
      <c r="I57" s="2">
        <f t="shared" si="31"/>
        <v>14519.251451925145</v>
      </c>
    </row>
    <row r="58" spans="1:9">
      <c r="A58" s="1">
        <f t="shared" si="27"/>
        <v>19</v>
      </c>
      <c r="B58" s="1">
        <f t="shared" si="19"/>
        <v>361</v>
      </c>
      <c r="C58" s="1">
        <f t="shared" si="20"/>
        <v>64.98</v>
      </c>
      <c r="D58" s="1">
        <f t="shared" si="28"/>
        <v>1.1542229735839104E-3</v>
      </c>
      <c r="E58" s="2">
        <f t="shared" si="29"/>
        <v>40.332013132103476</v>
      </c>
      <c r="F58">
        <f t="shared" si="30"/>
        <v>1000.0000000000001</v>
      </c>
      <c r="G58" s="1">
        <f t="shared" si="26"/>
        <v>1.1542229735839105</v>
      </c>
      <c r="I58" s="2">
        <f t="shared" si="31"/>
        <v>14559.856740689354</v>
      </c>
    </row>
    <row r="59" spans="1:9">
      <c r="A59" s="1">
        <f t="shared" si="27"/>
        <v>20</v>
      </c>
      <c r="B59" s="1">
        <f t="shared" si="19"/>
        <v>400</v>
      </c>
      <c r="C59" s="1">
        <f t="shared" si="20"/>
        <v>72</v>
      </c>
      <c r="D59" s="1">
        <f t="shared" si="28"/>
        <v>1.0454283076230966E-3</v>
      </c>
      <c r="E59" s="2">
        <f t="shared" si="29"/>
        <v>36.486762602527804</v>
      </c>
      <c r="F59">
        <f t="shared" si="30"/>
        <v>1000</v>
      </c>
      <c r="G59" s="1">
        <f t="shared" si="26"/>
        <v>1.0454283076230966</v>
      </c>
      <c r="I59" s="2">
        <f t="shared" si="31"/>
        <v>14594.705041011122</v>
      </c>
    </row>
    <row r="60" spans="1:9">
      <c r="A60" s="1">
        <f t="shared" si="27"/>
        <v>21</v>
      </c>
      <c r="B60" s="1">
        <f t="shared" si="19"/>
        <v>441</v>
      </c>
      <c r="C60" s="1">
        <f t="shared" si="20"/>
        <v>79.38</v>
      </c>
      <c r="D60" s="1">
        <f t="shared" si="28"/>
        <v>9.5117152762417797E-4</v>
      </c>
      <c r="E60" s="2">
        <f t="shared" si="29"/>
        <v>33.162876149922731</v>
      </c>
      <c r="F60">
        <f t="shared" si="30"/>
        <v>1000.0000000000001</v>
      </c>
      <c r="G60" s="1">
        <f t="shared" si="26"/>
        <v>0.95117152762417811</v>
      </c>
      <c r="I60" s="2">
        <f t="shared" si="31"/>
        <v>14624.828382115924</v>
      </c>
    </row>
    <row r="61" spans="1:9">
      <c r="A61" s="1">
        <f t="shared" si="27"/>
        <v>22</v>
      </c>
      <c r="B61" s="1">
        <f t="shared" si="19"/>
        <v>484</v>
      </c>
      <c r="C61" s="1">
        <f t="shared" si="20"/>
        <v>87.11999999999999</v>
      </c>
      <c r="D61" s="1">
        <f t="shared" si="28"/>
        <v>8.6899751305122383E-4</v>
      </c>
      <c r="E61" s="2">
        <f t="shared" si="29"/>
        <v>30.270741512084076</v>
      </c>
      <c r="F61">
        <f t="shared" si="30"/>
        <v>1000</v>
      </c>
      <c r="G61" s="1">
        <f t="shared" si="26"/>
        <v>0.86899751305122386</v>
      </c>
      <c r="I61" s="2">
        <f t="shared" si="31"/>
        <v>14651.038891848693</v>
      </c>
    </row>
    <row r="62" spans="1:9">
      <c r="A62" s="1">
        <f t="shared" si="27"/>
        <v>23</v>
      </c>
      <c r="B62" s="1">
        <f t="shared" si="19"/>
        <v>529</v>
      </c>
      <c r="C62" s="1">
        <f t="shared" si="20"/>
        <v>95.22</v>
      </c>
      <c r="D62" s="1">
        <f t="shared" si="28"/>
        <v>7.969435897901934E-4</v>
      </c>
      <c r="E62" s="2">
        <f t="shared" si="29"/>
        <v>27.73909714786603</v>
      </c>
      <c r="F62">
        <f t="shared" si="30"/>
        <v>1000</v>
      </c>
      <c r="G62" s="1">
        <f t="shared" si="26"/>
        <v>0.79694358979019342</v>
      </c>
      <c r="I62" s="2">
        <f t="shared" si="31"/>
        <v>14673.98239122113</v>
      </c>
    </row>
    <row r="65" spans="1:9">
      <c r="A65" s="1" t="s">
        <v>28</v>
      </c>
      <c r="B65" s="1" t="s">
        <v>12</v>
      </c>
      <c r="C65" s="1">
        <v>800</v>
      </c>
      <c r="D65" s="1"/>
      <c r="F65" s="1"/>
      <c r="G65" s="1"/>
    </row>
    <row r="66" spans="1:9">
      <c r="A66" s="1"/>
      <c r="B66" s="1" t="s">
        <v>16</v>
      </c>
      <c r="C66" s="1" t="s">
        <v>24</v>
      </c>
      <c r="D66" s="1" t="s">
        <v>25</v>
      </c>
      <c r="E66" s="2" t="s">
        <v>23</v>
      </c>
      <c r="F66" s="1" t="s">
        <v>26</v>
      </c>
      <c r="G66" s="1" t="s">
        <v>27</v>
      </c>
      <c r="I66" s="2" t="s">
        <v>29</v>
      </c>
    </row>
    <row r="67" spans="1:9">
      <c r="A67" s="1">
        <v>0</v>
      </c>
      <c r="B67" s="1">
        <v>0</v>
      </c>
      <c r="C67" s="1">
        <v>0</v>
      </c>
      <c r="D67" s="1"/>
      <c r="E67" s="2">
        <f>$A$3/($C$3*B67 + $D$3 *$E$3*C$65)</f>
        <v>823.45191040843224</v>
      </c>
      <c r="F67">
        <f>$C$3*B67*E67 +$D$3*E67*$E$3*C$65</f>
        <v>1000.0000000000002</v>
      </c>
      <c r="G67" s="1">
        <f t="shared" ref="G67:G98" si="32">C67^(0.5)*E67^(1.5)*$C$37^(-1.25)</f>
        <v>0</v>
      </c>
    </row>
    <row r="68" spans="1:9">
      <c r="A68" s="1">
        <v>1</v>
      </c>
      <c r="B68" s="1">
        <f>A68^2</f>
        <v>1</v>
      </c>
      <c r="C68" s="1">
        <f>0.18*B68/4</f>
        <v>4.4999999999999998E-2</v>
      </c>
      <c r="D68" s="1">
        <f>G68/F68</f>
        <v>2.5852597711393892E-3</v>
      </c>
      <c r="E68" s="2">
        <f>$A$3/($C$3*B68 + $D$3 *$E$3*C$65)</f>
        <v>780.3964413922273</v>
      </c>
      <c r="F68">
        <f>$C$3*B68*E68 +$D$3*E68*$E$3*C$65</f>
        <v>1000.0000000000001</v>
      </c>
      <c r="G68" s="1">
        <f>C68^(0.5)*E68^(1.5)*$C$37^(-1.25)</f>
        <v>2.5852597711393894</v>
      </c>
      <c r="I68" s="2">
        <f t="shared" si="24"/>
        <v>780.3964413922273</v>
      </c>
    </row>
    <row r="69" spans="1:9">
      <c r="A69" s="1">
        <f>A68+1</f>
        <v>2</v>
      </c>
      <c r="B69" s="1">
        <f t="shared" ref="B69:B98" si="33">A69^2</f>
        <v>4</v>
      </c>
      <c r="C69" s="1">
        <f t="shared" ref="C69:C98" si="34">0.18*B69/4</f>
        <v>0.18</v>
      </c>
      <c r="D69" s="1">
        <f t="shared" ref="D69:D92" si="35">G69/F69</f>
        <v>4.1554030472814195E-3</v>
      </c>
      <c r="E69" s="2">
        <f t="shared" ref="E69:E92" si="36">$A$3/($C$3*B69 + $D$3 *$E$3*C$65)</f>
        <v>674.58175930922835</v>
      </c>
      <c r="F69">
        <f t="shared" ref="F69:F92" si="37">$C$3*B69*E69 +$D$3*E69*$E$3*C$65</f>
        <v>1000.0000000000001</v>
      </c>
      <c r="G69" s="1">
        <f t="shared" ref="G69:G98" si="38">C69^(0.5)*E69^(1.5)*$C$37^(-1.25)</f>
        <v>4.1554030472814203</v>
      </c>
      <c r="I69" s="2">
        <f t="shared" si="24"/>
        <v>2698.3270372369134</v>
      </c>
    </row>
    <row r="70" spans="1:9">
      <c r="A70" s="1">
        <f t="shared" ref="A70:A92" si="39">A69+1</f>
        <v>3</v>
      </c>
      <c r="B70" s="1">
        <f t="shared" si="33"/>
        <v>9</v>
      </c>
      <c r="C70" s="1">
        <f t="shared" si="34"/>
        <v>0.40499999999999997</v>
      </c>
      <c r="D70" s="1">
        <f t="shared" si="35"/>
        <v>4.5917341640240496E-3</v>
      </c>
      <c r="E70" s="2">
        <f t="shared" si="36"/>
        <v>550.23660173874771</v>
      </c>
      <c r="F70">
        <f t="shared" si="37"/>
        <v>1000</v>
      </c>
      <c r="G70" s="1">
        <f t="shared" si="38"/>
        <v>4.5917341640240492</v>
      </c>
      <c r="I70" s="2">
        <f t="shared" si="24"/>
        <v>4952.1294156487293</v>
      </c>
    </row>
    <row r="71" spans="1:9">
      <c r="A71" s="1">
        <f t="shared" si="39"/>
        <v>4</v>
      </c>
      <c r="B71" s="1">
        <f t="shared" si="33"/>
        <v>16</v>
      </c>
      <c r="C71" s="1">
        <f t="shared" si="34"/>
        <v>0.72</v>
      </c>
      <c r="D71" s="1">
        <f t="shared" si="35"/>
        <v>4.3387331683646573E-3</v>
      </c>
      <c r="E71" s="2">
        <f t="shared" si="36"/>
        <v>437.36878936319107</v>
      </c>
      <c r="F71">
        <f t="shared" si="37"/>
        <v>1000.0000000000001</v>
      </c>
      <c r="G71" s="1">
        <f t="shared" si="38"/>
        <v>4.3387331683646577</v>
      </c>
      <c r="I71" s="2">
        <f t="shared" si="24"/>
        <v>6997.9006298110571</v>
      </c>
    </row>
    <row r="72" spans="1:9">
      <c r="A72" s="1">
        <f t="shared" si="39"/>
        <v>5</v>
      </c>
      <c r="B72" s="1">
        <f t="shared" si="33"/>
        <v>25</v>
      </c>
      <c r="C72" s="1">
        <f t="shared" si="34"/>
        <v>1.125</v>
      </c>
      <c r="D72" s="1">
        <f t="shared" si="35"/>
        <v>3.8175942633931633E-3</v>
      </c>
      <c r="E72" s="2">
        <f t="shared" si="36"/>
        <v>346.09261438360903</v>
      </c>
      <c r="F72">
        <f t="shared" si="37"/>
        <v>1000</v>
      </c>
      <c r="G72" s="1">
        <f t="shared" si="38"/>
        <v>3.8175942633931634</v>
      </c>
      <c r="I72" s="2">
        <f t="shared" si="24"/>
        <v>8652.3153595902259</v>
      </c>
    </row>
    <row r="73" spans="1:9">
      <c r="A73" s="1">
        <f t="shared" si="39"/>
        <v>6</v>
      </c>
      <c r="B73" s="1">
        <f t="shared" si="33"/>
        <v>36</v>
      </c>
      <c r="C73" s="1">
        <f t="shared" si="34"/>
        <v>1.6199999999999999</v>
      </c>
      <c r="D73" s="1">
        <f t="shared" si="35"/>
        <v>3.2581341283126376E-3</v>
      </c>
      <c r="E73" s="2">
        <f t="shared" si="36"/>
        <v>275.75557026251931</v>
      </c>
      <c r="F73">
        <f t="shared" si="37"/>
        <v>1000</v>
      </c>
      <c r="G73" s="1">
        <f t="shared" si="38"/>
        <v>3.2581341283126375</v>
      </c>
      <c r="I73" s="2">
        <f t="shared" si="24"/>
        <v>9927.2005294506962</v>
      </c>
    </row>
    <row r="74" spans="1:9">
      <c r="A74" s="1">
        <f t="shared" si="39"/>
        <v>7</v>
      </c>
      <c r="B74" s="1">
        <f t="shared" si="33"/>
        <v>49</v>
      </c>
      <c r="C74" s="1">
        <f t="shared" si="34"/>
        <v>2.2050000000000001</v>
      </c>
      <c r="D74" s="1">
        <f t="shared" si="35"/>
        <v>2.7522446387278068E-3</v>
      </c>
      <c r="E74" s="2">
        <f t="shared" si="36"/>
        <v>222.35069151065056</v>
      </c>
      <c r="F74">
        <f t="shared" si="37"/>
        <v>1000</v>
      </c>
      <c r="G74" s="1">
        <f t="shared" si="38"/>
        <v>2.7522446387278068</v>
      </c>
      <c r="I74" s="2">
        <f t="shared" si="24"/>
        <v>10895.183884021877</v>
      </c>
    </row>
    <row r="75" spans="1:9">
      <c r="A75" s="1">
        <f t="shared" si="39"/>
        <v>8</v>
      </c>
      <c r="B75" s="1">
        <f t="shared" si="33"/>
        <v>64</v>
      </c>
      <c r="C75" s="1">
        <f t="shared" si="34"/>
        <v>2.88</v>
      </c>
      <c r="D75" s="1">
        <f t="shared" si="35"/>
        <v>2.3243044677275326E-3</v>
      </c>
      <c r="E75" s="2">
        <f t="shared" si="36"/>
        <v>181.73887758069208</v>
      </c>
      <c r="F75">
        <f t="shared" si="37"/>
        <v>1000.0000000000001</v>
      </c>
      <c r="G75" s="1">
        <f t="shared" si="38"/>
        <v>2.3243044677275329</v>
      </c>
      <c r="I75" s="2">
        <f t="shared" si="24"/>
        <v>11631.288165164293</v>
      </c>
    </row>
    <row r="76" spans="1:9">
      <c r="A76" s="1">
        <f t="shared" si="39"/>
        <v>9</v>
      </c>
      <c r="B76" s="1">
        <f t="shared" si="33"/>
        <v>81</v>
      </c>
      <c r="C76" s="1">
        <f t="shared" si="34"/>
        <v>3.645</v>
      </c>
      <c r="D76" s="1">
        <f t="shared" si="35"/>
        <v>1.9718974274743309E-3</v>
      </c>
      <c r="E76" s="2">
        <f t="shared" si="36"/>
        <v>150.57066281205769</v>
      </c>
      <c r="F76">
        <f t="shared" si="37"/>
        <v>1000.0000000000001</v>
      </c>
      <c r="G76" s="1">
        <f t="shared" si="38"/>
        <v>1.9718974274743313</v>
      </c>
      <c r="I76" s="2">
        <f t="shared" si="24"/>
        <v>12196.223687776674</v>
      </c>
    </row>
    <row r="77" spans="1:9">
      <c r="A77" s="1">
        <f t="shared" si="39"/>
        <v>10</v>
      </c>
      <c r="B77" s="1">
        <f t="shared" si="33"/>
        <v>100</v>
      </c>
      <c r="C77" s="1">
        <f t="shared" si="34"/>
        <v>4.5</v>
      </c>
      <c r="D77" s="1">
        <f t="shared" si="35"/>
        <v>1.6842411485777766E-3</v>
      </c>
      <c r="E77" s="2">
        <f t="shared" si="36"/>
        <v>126.35196603659152</v>
      </c>
      <c r="F77">
        <f t="shared" si="37"/>
        <v>1000</v>
      </c>
      <c r="G77" s="1">
        <f t="shared" si="38"/>
        <v>1.6842411485777766</v>
      </c>
      <c r="I77" s="2">
        <f t="shared" si="24"/>
        <v>12635.196603659151</v>
      </c>
    </row>
    <row r="78" spans="1:9">
      <c r="A78" s="1">
        <f t="shared" si="39"/>
        <v>11</v>
      </c>
      <c r="B78" s="1">
        <f t="shared" si="33"/>
        <v>121</v>
      </c>
      <c r="C78" s="1">
        <f t="shared" si="34"/>
        <v>5.4449999999999994</v>
      </c>
      <c r="D78" s="1">
        <f t="shared" si="35"/>
        <v>1.4494466526967385E-3</v>
      </c>
      <c r="E78" s="2">
        <f t="shared" si="36"/>
        <v>107.28002231424463</v>
      </c>
      <c r="F78">
        <f t="shared" si="37"/>
        <v>1000</v>
      </c>
      <c r="G78" s="1">
        <f t="shared" si="38"/>
        <v>1.4494466526967384</v>
      </c>
      <c r="I78" s="2">
        <f t="shared" si="24"/>
        <v>12980.8827000236</v>
      </c>
    </row>
    <row r="79" spans="1:9">
      <c r="A79" s="1">
        <f t="shared" si="39"/>
        <v>12</v>
      </c>
      <c r="B79" s="1">
        <f t="shared" si="33"/>
        <v>144</v>
      </c>
      <c r="C79" s="1">
        <f t="shared" si="34"/>
        <v>6.4799999999999995</v>
      </c>
      <c r="D79" s="1">
        <f t="shared" si="35"/>
        <v>1.2569668575130582E-3</v>
      </c>
      <c r="E79" s="2">
        <f t="shared" si="36"/>
        <v>92.060686404477835</v>
      </c>
      <c r="F79">
        <f t="shared" si="37"/>
        <v>1000</v>
      </c>
      <c r="G79" s="1">
        <f t="shared" si="38"/>
        <v>1.2569668575130581</v>
      </c>
      <c r="I79" s="2">
        <f t="shared" si="24"/>
        <v>13256.738842244808</v>
      </c>
    </row>
    <row r="80" spans="1:9">
      <c r="A80" s="1">
        <f t="shared" si="39"/>
        <v>13</v>
      </c>
      <c r="B80" s="1">
        <f t="shared" si="33"/>
        <v>169</v>
      </c>
      <c r="C80" s="1">
        <f t="shared" si="34"/>
        <v>7.6049999999999995</v>
      </c>
      <c r="D80" s="1">
        <f t="shared" si="35"/>
        <v>1.0981543771122252E-3</v>
      </c>
      <c r="E80" s="2">
        <f t="shared" si="36"/>
        <v>79.761354028745998</v>
      </c>
      <c r="F80">
        <f t="shared" si="37"/>
        <v>1000.0000000000001</v>
      </c>
      <c r="G80" s="1">
        <f t="shared" si="38"/>
        <v>1.0981543771122253</v>
      </c>
      <c r="I80" s="2">
        <f t="shared" si="24"/>
        <v>13479.668830858074</v>
      </c>
    </row>
    <row r="81" spans="1:9">
      <c r="A81" s="1">
        <f t="shared" si="39"/>
        <v>14</v>
      </c>
      <c r="B81" s="1">
        <f t="shared" si="33"/>
        <v>196</v>
      </c>
      <c r="C81" s="1">
        <f t="shared" si="34"/>
        <v>8.82</v>
      </c>
      <c r="D81" s="1">
        <f t="shared" si="35"/>
        <v>9.661507607860258E-4</v>
      </c>
      <c r="E81" s="2">
        <f t="shared" si="36"/>
        <v>69.703897841967319</v>
      </c>
      <c r="F81">
        <f t="shared" si="37"/>
        <v>1000</v>
      </c>
      <c r="G81" s="1">
        <f t="shared" si="38"/>
        <v>0.9661507607860258</v>
      </c>
      <c r="I81" s="2">
        <f t="shared" si="24"/>
        <v>13661.963977025594</v>
      </c>
    </row>
    <row r="82" spans="1:9">
      <c r="A82" s="1">
        <f t="shared" si="39"/>
        <v>15</v>
      </c>
      <c r="B82" s="1">
        <f t="shared" si="33"/>
        <v>225</v>
      </c>
      <c r="C82" s="1">
        <f t="shared" si="34"/>
        <v>10.125</v>
      </c>
      <c r="D82" s="1">
        <f t="shared" si="35"/>
        <v>8.5558841403415918E-4</v>
      </c>
      <c r="E82" s="2">
        <f t="shared" si="36"/>
        <v>61.389615332670324</v>
      </c>
      <c r="F82">
        <f t="shared" si="37"/>
        <v>1000</v>
      </c>
      <c r="G82" s="1">
        <f t="shared" si="38"/>
        <v>0.85558841403415919</v>
      </c>
      <c r="I82" s="2">
        <f t="shared" si="24"/>
        <v>13812.663449850823</v>
      </c>
    </row>
    <row r="83" spans="1:9">
      <c r="A83" s="1">
        <f t="shared" si="39"/>
        <v>16</v>
      </c>
      <c r="B83" s="1">
        <f t="shared" si="33"/>
        <v>256</v>
      </c>
      <c r="C83" s="1">
        <f t="shared" si="34"/>
        <v>11.52</v>
      </c>
      <c r="D83" s="1">
        <f t="shared" si="35"/>
        <v>7.6228117120632642E-4</v>
      </c>
      <c r="E83" s="2">
        <f t="shared" si="36"/>
        <v>54.447251502744137</v>
      </c>
      <c r="F83">
        <f t="shared" si="37"/>
        <v>1000</v>
      </c>
      <c r="G83" s="1">
        <f t="shared" si="38"/>
        <v>0.76228117120632644</v>
      </c>
      <c r="I83" s="2">
        <f t="shared" si="24"/>
        <v>13938.496384702499</v>
      </c>
    </row>
    <row r="84" spans="1:9">
      <c r="A84" s="1">
        <f t="shared" si="39"/>
        <v>17</v>
      </c>
      <c r="B84" s="1">
        <f t="shared" si="33"/>
        <v>289</v>
      </c>
      <c r="C84" s="1">
        <f t="shared" si="34"/>
        <v>13.004999999999999</v>
      </c>
      <c r="D84" s="1">
        <f t="shared" si="35"/>
        <v>6.8295869626788645E-4</v>
      </c>
      <c r="E84" s="2">
        <f t="shared" si="36"/>
        <v>48.597004480643811</v>
      </c>
      <c r="F84">
        <f t="shared" si="37"/>
        <v>1000</v>
      </c>
      <c r="G84" s="1">
        <f t="shared" si="38"/>
        <v>0.68295869626788641</v>
      </c>
      <c r="I84" s="2">
        <f t="shared" si="24"/>
        <v>14044.534294906061</v>
      </c>
    </row>
    <row r="85" spans="1:9">
      <c r="A85" s="1">
        <f t="shared" si="39"/>
        <v>18</v>
      </c>
      <c r="B85" s="1">
        <f t="shared" si="33"/>
        <v>324</v>
      </c>
      <c r="C85" s="1">
        <f t="shared" si="34"/>
        <v>14.58</v>
      </c>
      <c r="D85" s="1">
        <f t="shared" si="35"/>
        <v>6.1505455995828772E-4</v>
      </c>
      <c r="E85" s="2">
        <f t="shared" si="36"/>
        <v>43.625449342128221</v>
      </c>
      <c r="F85">
        <f t="shared" si="37"/>
        <v>1000</v>
      </c>
      <c r="G85" s="1">
        <f t="shared" si="38"/>
        <v>0.61505455995828773</v>
      </c>
      <c r="I85" s="2">
        <f t="shared" si="24"/>
        <v>14134.645586849543</v>
      </c>
    </row>
    <row r="86" spans="1:9">
      <c r="A86" s="1">
        <f t="shared" si="39"/>
        <v>19</v>
      </c>
      <c r="B86" s="1">
        <f t="shared" si="33"/>
        <v>361</v>
      </c>
      <c r="C86" s="1">
        <f t="shared" si="34"/>
        <v>16.245000000000001</v>
      </c>
      <c r="D86" s="1">
        <f t="shared" si="35"/>
        <v>5.5654256914315896E-4</v>
      </c>
      <c r="E86" s="2">
        <f t="shared" si="36"/>
        <v>39.367908855417411</v>
      </c>
      <c r="F86">
        <f t="shared" si="37"/>
        <v>999.99999999999989</v>
      </c>
      <c r="G86" s="1">
        <f t="shared" si="38"/>
        <v>0.55654256914315892</v>
      </c>
      <c r="I86" s="2">
        <f t="shared" si="24"/>
        <v>14211.815096805685</v>
      </c>
    </row>
    <row r="87" spans="1:9">
      <c r="A87" s="1">
        <f t="shared" si="39"/>
        <v>20</v>
      </c>
      <c r="B87" s="1">
        <f t="shared" si="33"/>
        <v>400</v>
      </c>
      <c r="C87" s="1">
        <f t="shared" si="34"/>
        <v>18</v>
      </c>
      <c r="D87" s="1">
        <f t="shared" si="35"/>
        <v>5.058121710842259E-4</v>
      </c>
      <c r="E87" s="2">
        <f t="shared" si="36"/>
        <v>35.695927808555595</v>
      </c>
      <c r="F87">
        <f t="shared" si="37"/>
        <v>999.99999999999989</v>
      </c>
      <c r="G87" s="1">
        <f t="shared" si="38"/>
        <v>0.50581217108422583</v>
      </c>
      <c r="I87" s="2">
        <f t="shared" si="24"/>
        <v>14278.371123422237</v>
      </c>
    </row>
    <row r="88" spans="1:9">
      <c r="A88" s="1">
        <f t="shared" si="39"/>
        <v>21</v>
      </c>
      <c r="B88" s="1">
        <f t="shared" si="33"/>
        <v>441</v>
      </c>
      <c r="C88" s="1">
        <f t="shared" si="34"/>
        <v>19.844999999999999</v>
      </c>
      <c r="D88" s="1">
        <f t="shared" si="35"/>
        <v>4.6157408447720515E-4</v>
      </c>
      <c r="E88" s="2">
        <f t="shared" si="36"/>
        <v>32.508273355568988</v>
      </c>
      <c r="F88">
        <f t="shared" si="37"/>
        <v>999.99999999999989</v>
      </c>
      <c r="G88" s="1">
        <f t="shared" si="38"/>
        <v>0.4615740844772051</v>
      </c>
      <c r="I88" s="2">
        <f t="shared" si="24"/>
        <v>14336.148549805925</v>
      </c>
    </row>
    <row r="89" spans="1:9">
      <c r="A89" s="1">
        <f t="shared" si="39"/>
        <v>22</v>
      </c>
      <c r="B89" s="1">
        <f t="shared" si="33"/>
        <v>484</v>
      </c>
      <c r="C89" s="1">
        <f t="shared" si="34"/>
        <v>21.779999999999998</v>
      </c>
      <c r="D89" s="1">
        <f t="shared" si="35"/>
        <v>4.2278881879132587E-4</v>
      </c>
      <c r="E89" s="2">
        <f t="shared" si="36"/>
        <v>29.724395405797445</v>
      </c>
      <c r="F89">
        <f t="shared" si="37"/>
        <v>1000.0000000000001</v>
      </c>
      <c r="G89" s="1">
        <f t="shared" si="38"/>
        <v>0.4227888187913259</v>
      </c>
      <c r="I89" s="2">
        <f t="shared" si="24"/>
        <v>14386.607376405964</v>
      </c>
    </row>
    <row r="90" spans="1:9">
      <c r="A90" s="1">
        <f t="shared" si="39"/>
        <v>23</v>
      </c>
      <c r="B90" s="1">
        <f t="shared" si="33"/>
        <v>529</v>
      </c>
      <c r="C90" s="1">
        <f t="shared" si="34"/>
        <v>23.805</v>
      </c>
      <c r="D90" s="1">
        <f t="shared" si="35"/>
        <v>3.8861236587009641E-4</v>
      </c>
      <c r="E90" s="2">
        <f t="shared" si="36"/>
        <v>27.279621577089479</v>
      </c>
      <c r="F90">
        <f t="shared" si="37"/>
        <v>1000</v>
      </c>
      <c r="G90" s="1">
        <f t="shared" si="38"/>
        <v>0.3886123658700964</v>
      </c>
      <c r="I90" s="2">
        <f t="shared" si="24"/>
        <v>14430.919814280334</v>
      </c>
    </row>
    <row r="91" spans="1:9">
      <c r="A91" s="1">
        <f t="shared" si="39"/>
        <v>24</v>
      </c>
      <c r="B91" s="1">
        <f t="shared" si="33"/>
        <v>576</v>
      </c>
      <c r="C91" s="1">
        <f t="shared" si="34"/>
        <v>25.919999999999998</v>
      </c>
      <c r="D91" s="1">
        <f t="shared" si="35"/>
        <v>3.5835474164622172E-4</v>
      </c>
      <c r="E91" s="2">
        <f t="shared" si="36"/>
        <v>25.121588488283294</v>
      </c>
      <c r="F91">
        <f t="shared" si="37"/>
        <v>1000.0000000000001</v>
      </c>
      <c r="G91" s="1">
        <f t="shared" si="38"/>
        <v>0.35835474164622177</v>
      </c>
      <c r="I91" s="2">
        <f t="shared" si="24"/>
        <v>14470.034969251177</v>
      </c>
    </row>
    <row r="92" spans="1:9">
      <c r="A92" s="1">
        <f t="shared" si="39"/>
        <v>25</v>
      </c>
      <c r="B92" s="1">
        <f t="shared" si="33"/>
        <v>625</v>
      </c>
      <c r="C92" s="1">
        <f t="shared" si="34"/>
        <v>28.125</v>
      </c>
      <c r="D92" s="1">
        <f t="shared" si="35"/>
        <v>3.3144815527562729E-4</v>
      </c>
      <c r="E92" s="2">
        <f t="shared" si="36"/>
        <v>23.207563809196696</v>
      </c>
      <c r="F92">
        <f t="shared" si="37"/>
        <v>1000</v>
      </c>
      <c r="G92" s="1">
        <f t="shared" si="38"/>
        <v>0.33144815527562727</v>
      </c>
      <c r="I92" s="2">
        <f t="shared" si="24"/>
        <v>14504.727380747934</v>
      </c>
    </row>
    <row r="93" spans="1:9">
      <c r="A93" s="1">
        <f t="shared" ref="A93:A98" si="40">A92+1</f>
        <v>26</v>
      </c>
      <c r="B93" s="1">
        <f t="shared" si="33"/>
        <v>676</v>
      </c>
      <c r="C93" s="1">
        <f t="shared" si="34"/>
        <v>30.419999999999998</v>
      </c>
      <c r="D93" s="1">
        <f t="shared" ref="D93:D98" si="41">G93/F93</f>
        <v>3.0742241629761841E-4</v>
      </c>
      <c r="E93" s="2">
        <f t="shared" ref="E93:E98" si="42">$A$3/($C$3*B93 + $D$3 *$E$3*C$65)</f>
        <v>21.502416871656376</v>
      </c>
      <c r="F93">
        <f t="shared" ref="F93:F98" si="43">$C$3*B93*E93 +$D$3*E93*$E$3*C$65</f>
        <v>1000.0000000000001</v>
      </c>
      <c r="G93" s="1">
        <f t="shared" si="38"/>
        <v>0.30742241629761846</v>
      </c>
      <c r="I93" s="2">
        <f t="shared" ref="I93:I98" si="44">E93*B93</f>
        <v>14535.63380523971</v>
      </c>
    </row>
    <row r="94" spans="1:9">
      <c r="A94" s="1">
        <f t="shared" si="40"/>
        <v>27</v>
      </c>
      <c r="B94" s="1">
        <f t="shared" si="33"/>
        <v>729</v>
      </c>
      <c r="C94" s="1">
        <f t="shared" si="34"/>
        <v>32.805</v>
      </c>
      <c r="D94" s="1">
        <f t="shared" si="41"/>
        <v>2.8588580975440669E-4</v>
      </c>
      <c r="E94" s="2">
        <f t="shared" si="42"/>
        <v>19.977066327855621</v>
      </c>
      <c r="F94">
        <f t="shared" si="43"/>
        <v>1000</v>
      </c>
      <c r="G94" s="1">
        <f t="shared" si="38"/>
        <v>0.28588580975440669</v>
      </c>
      <c r="I94" s="2">
        <f t="shared" si="44"/>
        <v>14563.281353006747</v>
      </c>
    </row>
    <row r="95" spans="1:9">
      <c r="A95" s="1">
        <f t="shared" si="40"/>
        <v>28</v>
      </c>
      <c r="B95" s="1">
        <f t="shared" si="33"/>
        <v>784</v>
      </c>
      <c r="C95" s="1">
        <f t="shared" si="34"/>
        <v>35.28</v>
      </c>
      <c r="D95" s="1">
        <f t="shared" si="41"/>
        <v>2.6651012533783979E-4</v>
      </c>
      <c r="E95" s="2">
        <f t="shared" si="42"/>
        <v>18.607282145940633</v>
      </c>
      <c r="F95">
        <f t="shared" si="43"/>
        <v>1000</v>
      </c>
      <c r="G95" s="1">
        <f t="shared" si="38"/>
        <v>0.2665101253378398</v>
      </c>
      <c r="I95" s="2">
        <f t="shared" si="44"/>
        <v>14588.109202417456</v>
      </c>
    </row>
    <row r="96" spans="1:9">
      <c r="A96" s="1">
        <f t="shared" si="40"/>
        <v>29</v>
      </c>
      <c r="B96" s="1">
        <f t="shared" si="33"/>
        <v>841</v>
      </c>
      <c r="C96" s="1">
        <f t="shared" si="34"/>
        <v>37.844999999999999</v>
      </c>
      <c r="D96" s="1">
        <f t="shared" si="41"/>
        <v>2.4901886152608798E-4</v>
      </c>
      <c r="E96" s="2">
        <f t="shared" si="42"/>
        <v>17.372753268683528</v>
      </c>
      <c r="F96">
        <f t="shared" si="43"/>
        <v>1000</v>
      </c>
      <c r="G96" s="1">
        <f t="shared" si="38"/>
        <v>0.24901886152608799</v>
      </c>
      <c r="I96" s="2">
        <f t="shared" si="44"/>
        <v>14610.485498962847</v>
      </c>
    </row>
    <row r="97" spans="1:9">
      <c r="A97" s="1">
        <f t="shared" si="40"/>
        <v>30</v>
      </c>
      <c r="B97" s="1">
        <f t="shared" si="33"/>
        <v>900</v>
      </c>
      <c r="C97" s="1">
        <f t="shared" si="34"/>
        <v>40.5</v>
      </c>
      <c r="D97" s="1">
        <f t="shared" si="41"/>
        <v>2.3317787165985269E-4</v>
      </c>
      <c r="E97" s="2">
        <f t="shared" si="42"/>
        <v>16.256356235287996</v>
      </c>
      <c r="F97">
        <f t="shared" si="43"/>
        <v>1000</v>
      </c>
      <c r="G97" s="1">
        <f t="shared" si="38"/>
        <v>0.23317787165985268</v>
      </c>
      <c r="I97" s="2">
        <f t="shared" si="44"/>
        <v>14630.720611759196</v>
      </c>
    </row>
    <row r="98" spans="1:9">
      <c r="A98" s="1">
        <f t="shared" si="40"/>
        <v>31</v>
      </c>
      <c r="B98" s="1">
        <f t="shared" si="33"/>
        <v>961</v>
      </c>
      <c r="C98" s="1">
        <f t="shared" si="34"/>
        <v>43.244999999999997</v>
      </c>
      <c r="D98" s="1">
        <f t="shared" si="41"/>
        <v>2.1878790006513521E-4</v>
      </c>
      <c r="E98" s="2">
        <f t="shared" si="42"/>
        <v>15.243577118781001</v>
      </c>
      <c r="F98">
        <f t="shared" si="43"/>
        <v>1000</v>
      </c>
      <c r="G98" s="1">
        <f t="shared" si="38"/>
        <v>0.21878790006513521</v>
      </c>
      <c r="I98" s="2">
        <f t="shared" si="44"/>
        <v>14649.077611148543</v>
      </c>
    </row>
    <row r="99" spans="1:9">
      <c r="A99" s="1" t="s">
        <v>28</v>
      </c>
      <c r="B99" s="1" t="s">
        <v>12</v>
      </c>
      <c r="C99" s="1">
        <v>1600</v>
      </c>
      <c r="D99" s="1"/>
      <c r="F99" s="1"/>
      <c r="G99" s="1"/>
    </row>
    <row r="100" spans="1:9">
      <c r="A100" s="1"/>
      <c r="B100" s="1" t="s">
        <v>16</v>
      </c>
      <c r="C100" s="1" t="s">
        <v>24</v>
      </c>
      <c r="D100" s="1" t="s">
        <v>25</v>
      </c>
      <c r="E100" s="2" t="s">
        <v>23</v>
      </c>
      <c r="F100" s="1" t="s">
        <v>26</v>
      </c>
      <c r="G100" s="1" t="s">
        <v>27</v>
      </c>
      <c r="I100" s="2" t="s">
        <v>29</v>
      </c>
    </row>
    <row r="101" spans="1:9">
      <c r="A101" s="1">
        <v>0</v>
      </c>
      <c r="B101" s="1">
        <v>0</v>
      </c>
      <c r="C101" s="1">
        <f t="shared" ref="C101" si="45">0.17*B101/16</f>
        <v>0</v>
      </c>
      <c r="D101" s="1"/>
      <c r="E101" s="2">
        <f>$A$3/($C$3*B101 + $D$3 *$E$3*C$99)</f>
        <v>411.72595520421612</v>
      </c>
      <c r="F101">
        <f>$C$3*B101*E101 +$D$3*E101*$E$3*C$99</f>
        <v>1000.0000000000002</v>
      </c>
      <c r="G101" s="1">
        <f t="shared" ref="G101:G141" si="46">C101^(0.5)*E101^(1.5)*$C$37^(-1.25)</f>
        <v>0</v>
      </c>
    </row>
    <row r="102" spans="1:9">
      <c r="A102" s="1">
        <v>1</v>
      </c>
      <c r="B102" s="1">
        <f>A102^2</f>
        <v>1</v>
      </c>
      <c r="C102" s="1">
        <f>0.18*B102/16</f>
        <v>1.125E-2</v>
      </c>
      <c r="D102" s="1">
        <f>G102/F102</f>
        <v>4.7553950512614699E-4</v>
      </c>
      <c r="E102" s="2">
        <f>$A$3/($C$3*B102 + $D$3 *$E$3*C$99)</f>
        <v>400.67313085984455</v>
      </c>
      <c r="F102">
        <f>$C$3*B102*E102 +$D$3*E102*$E$3*C$99</f>
        <v>1000</v>
      </c>
      <c r="G102" s="1">
        <f>C102^(0.5)*E102^(1.5)*$C$37^(-1.25)</f>
        <v>0.47553950512614701</v>
      </c>
      <c r="I102" s="2">
        <f t="shared" si="24"/>
        <v>400.67313085984455</v>
      </c>
    </row>
    <row r="103" spans="1:9">
      <c r="A103" s="1">
        <f>A102+1</f>
        <v>2</v>
      </c>
      <c r="B103" s="1">
        <f t="shared" ref="B103:B141" si="47">A103^2</f>
        <v>4</v>
      </c>
      <c r="C103" s="1">
        <f t="shared" ref="C103:C141" si="48">0.18*B103/16</f>
        <v>4.4999999999999998E-2</v>
      </c>
      <c r="D103" s="1">
        <f t="shared" ref="D103" si="49">G103/F103</f>
        <v>8.4675575780103496E-4</v>
      </c>
      <c r="E103" s="2">
        <f t="shared" ref="E103:E141" si="50">$A$3/($C$3*B103 + $D$3 *$E$3*C$99)</f>
        <v>370.80984870958179</v>
      </c>
      <c r="F103">
        <f t="shared" ref="F103:F141" si="51">$C$3*B103*E103 +$D$3*E103*$E$3*C$99</f>
        <v>1000.0000000000002</v>
      </c>
      <c r="G103" s="1">
        <f t="shared" ref="G103:G141" si="52">C103^(0.5)*E103^(1.5)*$C$37^(-1.25)</f>
        <v>0.84675575780103518</v>
      </c>
      <c r="I103" s="2">
        <f t="shared" si="24"/>
        <v>1483.2393948383271</v>
      </c>
    </row>
    <row r="104" spans="1:9">
      <c r="A104" s="1">
        <f t="shared" ref="A104:A141" si="53">A103+1</f>
        <v>3</v>
      </c>
      <c r="B104" s="1">
        <f t="shared" si="47"/>
        <v>9</v>
      </c>
      <c r="C104" s="1">
        <f t="shared" si="48"/>
        <v>0.10124999999999999</v>
      </c>
      <c r="D104" s="1">
        <f t="shared" ref="D104:D141" si="54">G104/F104</f>
        <v>1.0655447750815815E-3</v>
      </c>
      <c r="E104" s="2">
        <f t="shared" si="50"/>
        <v>329.83706049211696</v>
      </c>
      <c r="F104">
        <f t="shared" si="51"/>
        <v>1000.0000000000002</v>
      </c>
      <c r="G104" s="1">
        <f t="shared" si="52"/>
        <v>1.0655447750815816</v>
      </c>
      <c r="I104" s="2">
        <f t="shared" si="24"/>
        <v>2968.5335444290527</v>
      </c>
    </row>
    <row r="105" spans="1:9">
      <c r="A105" s="1">
        <f t="shared" si="53"/>
        <v>4</v>
      </c>
      <c r="B105" s="1">
        <f t="shared" si="47"/>
        <v>16</v>
      </c>
      <c r="C105" s="1">
        <f t="shared" si="48"/>
        <v>0.18</v>
      </c>
      <c r="D105" s="1">
        <f t="shared" si="54"/>
        <v>1.145012724258597E-3</v>
      </c>
      <c r="E105" s="2">
        <f t="shared" si="50"/>
        <v>285.6489945155393</v>
      </c>
      <c r="F105">
        <f t="shared" si="51"/>
        <v>1000</v>
      </c>
      <c r="G105" s="1">
        <f t="shared" si="52"/>
        <v>1.145012724258597</v>
      </c>
      <c r="I105" s="2">
        <f t="shared" si="24"/>
        <v>4570.3839122486288</v>
      </c>
    </row>
    <row r="106" spans="1:9">
      <c r="A106" s="1">
        <f t="shared" si="53"/>
        <v>5</v>
      </c>
      <c r="B106" s="1">
        <f t="shared" si="47"/>
        <v>25</v>
      </c>
      <c r="C106" s="1">
        <f t="shared" si="48"/>
        <v>0.28125</v>
      </c>
      <c r="D106" s="1">
        <f t="shared" si="54"/>
        <v>1.1276958850235594E-3</v>
      </c>
      <c r="E106" s="2">
        <f t="shared" si="50"/>
        <v>243.67659242653153</v>
      </c>
      <c r="F106">
        <f t="shared" si="51"/>
        <v>1000.0000000000002</v>
      </c>
      <c r="G106" s="1">
        <f t="shared" si="52"/>
        <v>1.1276958850235597</v>
      </c>
      <c r="I106" s="2">
        <f t="shared" si="24"/>
        <v>6091.9148106632883</v>
      </c>
    </row>
    <row r="107" spans="1:9">
      <c r="A107" s="1">
        <f t="shared" si="53"/>
        <v>6</v>
      </c>
      <c r="B107" s="1">
        <f t="shared" si="47"/>
        <v>36</v>
      </c>
      <c r="C107" s="1">
        <f t="shared" si="48"/>
        <v>0.40499999999999997</v>
      </c>
      <c r="D107" s="1">
        <f t="shared" si="54"/>
        <v>1.0562745416963896E-3</v>
      </c>
      <c r="E107" s="2">
        <f t="shared" si="50"/>
        <v>206.57742521897208</v>
      </c>
      <c r="F107">
        <f t="shared" si="51"/>
        <v>1000</v>
      </c>
      <c r="G107" s="1">
        <f t="shared" si="52"/>
        <v>1.0562745416963897</v>
      </c>
      <c r="I107" s="2">
        <f t="shared" si="24"/>
        <v>7436.7873078829953</v>
      </c>
    </row>
    <row r="108" spans="1:9">
      <c r="A108" s="1">
        <f t="shared" si="53"/>
        <v>7</v>
      </c>
      <c r="B108" s="1">
        <f t="shared" si="47"/>
        <v>49</v>
      </c>
      <c r="C108" s="1">
        <f t="shared" si="48"/>
        <v>0.55125000000000002</v>
      </c>
      <c r="D108" s="1">
        <f t="shared" si="54"/>
        <v>9.6147904606938821E-4</v>
      </c>
      <c r="E108" s="2">
        <f t="shared" si="50"/>
        <v>175.07615812878601</v>
      </c>
      <c r="F108">
        <f t="shared" si="51"/>
        <v>1000</v>
      </c>
      <c r="G108" s="1">
        <f t="shared" si="52"/>
        <v>0.96147904606938817</v>
      </c>
      <c r="I108" s="2">
        <f t="shared" si="24"/>
        <v>8578.7317483105144</v>
      </c>
    </row>
    <row r="109" spans="1:9">
      <c r="A109" s="1">
        <f t="shared" si="53"/>
        <v>8</v>
      </c>
      <c r="B109" s="1">
        <f t="shared" si="47"/>
        <v>64</v>
      </c>
      <c r="C109" s="1">
        <f t="shared" si="48"/>
        <v>0.72</v>
      </c>
      <c r="D109" s="1">
        <f t="shared" si="54"/>
        <v>8.6168321586087629E-4</v>
      </c>
      <c r="E109" s="2">
        <f t="shared" si="50"/>
        <v>148.88041924726059</v>
      </c>
      <c r="F109">
        <f t="shared" si="51"/>
        <v>1000</v>
      </c>
      <c r="G109" s="1">
        <f t="shared" si="52"/>
        <v>0.86168321586087626</v>
      </c>
      <c r="I109" s="2">
        <f t="shared" si="24"/>
        <v>9528.3468318246778</v>
      </c>
    </row>
    <row r="110" spans="1:9">
      <c r="A110" s="1">
        <f t="shared" si="53"/>
        <v>9</v>
      </c>
      <c r="B110" s="1">
        <f t="shared" si="47"/>
        <v>81</v>
      </c>
      <c r="C110" s="1">
        <f t="shared" si="48"/>
        <v>0.91125</v>
      </c>
      <c r="D110" s="1">
        <f t="shared" si="54"/>
        <v>7.6640469066181587E-4</v>
      </c>
      <c r="E110" s="2">
        <f t="shared" si="50"/>
        <v>127.2944830571043</v>
      </c>
      <c r="F110">
        <f t="shared" si="51"/>
        <v>1000</v>
      </c>
      <c r="G110" s="1">
        <f t="shared" si="52"/>
        <v>0.76640469066181582</v>
      </c>
      <c r="I110" s="2">
        <f t="shared" si="24"/>
        <v>10310.853127625449</v>
      </c>
    </row>
    <row r="111" spans="1:9">
      <c r="A111" s="1">
        <f t="shared" si="53"/>
        <v>10</v>
      </c>
      <c r="B111" s="1">
        <f t="shared" si="47"/>
        <v>100</v>
      </c>
      <c r="C111" s="1">
        <f t="shared" si="48"/>
        <v>1.125</v>
      </c>
      <c r="D111" s="1">
        <f t="shared" si="54"/>
        <v>6.7979933204859058E-4</v>
      </c>
      <c r="E111" s="2">
        <f t="shared" si="50"/>
        <v>109.5434230128823</v>
      </c>
      <c r="F111">
        <f t="shared" si="51"/>
        <v>1000</v>
      </c>
      <c r="G111" s="1">
        <f t="shared" si="52"/>
        <v>0.67979933204859055</v>
      </c>
      <c r="I111" s="2">
        <f t="shared" si="24"/>
        <v>10954.34230128823</v>
      </c>
    </row>
    <row r="112" spans="1:9">
      <c r="A112" s="1">
        <f t="shared" si="53"/>
        <v>11</v>
      </c>
      <c r="B112" s="1">
        <f t="shared" si="47"/>
        <v>121</v>
      </c>
      <c r="C112" s="1">
        <f t="shared" si="48"/>
        <v>1.3612499999999998</v>
      </c>
      <c r="D112" s="1">
        <f t="shared" si="54"/>
        <v>6.031046548395523E-4</v>
      </c>
      <c r="E112" s="2">
        <f t="shared" si="50"/>
        <v>94.914482051671428</v>
      </c>
      <c r="F112">
        <f t="shared" si="51"/>
        <v>1000</v>
      </c>
      <c r="G112" s="1">
        <f t="shared" si="52"/>
        <v>0.60310465483955233</v>
      </c>
      <c r="I112" s="2">
        <f t="shared" si="24"/>
        <v>11484.652328252243</v>
      </c>
    </row>
    <row r="113" spans="1:9">
      <c r="A113" s="1">
        <f t="shared" si="53"/>
        <v>12</v>
      </c>
      <c r="B113" s="1">
        <f t="shared" si="47"/>
        <v>144</v>
      </c>
      <c r="C113" s="1">
        <f t="shared" si="48"/>
        <v>1.6199999999999999</v>
      </c>
      <c r="D113" s="1">
        <f t="shared" si="54"/>
        <v>5.3611098599758167E-4</v>
      </c>
      <c r="E113" s="2">
        <f t="shared" si="50"/>
        <v>82.803391626921055</v>
      </c>
      <c r="F113">
        <f t="shared" si="51"/>
        <v>1000.0000000000002</v>
      </c>
      <c r="G113" s="1">
        <f t="shared" si="52"/>
        <v>0.53611098599758178</v>
      </c>
      <c r="I113" s="2">
        <f t="shared" si="24"/>
        <v>11923.688394276633</v>
      </c>
    </row>
    <row r="114" spans="1:9">
      <c r="A114" s="1">
        <f t="shared" si="53"/>
        <v>13</v>
      </c>
      <c r="B114" s="1">
        <f t="shared" si="47"/>
        <v>169</v>
      </c>
      <c r="C114" s="1">
        <f t="shared" si="48"/>
        <v>1.9012499999999999</v>
      </c>
      <c r="D114" s="1">
        <f t="shared" si="54"/>
        <v>4.7797513337613046E-4</v>
      </c>
      <c r="E114" s="2">
        <f t="shared" si="50"/>
        <v>72.717753312293667</v>
      </c>
      <c r="F114">
        <f t="shared" si="51"/>
        <v>1000.0000000000001</v>
      </c>
      <c r="G114" s="1">
        <f t="shared" si="52"/>
        <v>0.47797513337613051</v>
      </c>
      <c r="I114" s="2">
        <f t="shared" ref="I114:I141" si="55">E114*B114</f>
        <v>12289.300309777629</v>
      </c>
    </row>
    <row r="115" spans="1:9">
      <c r="A115" s="1">
        <f t="shared" si="53"/>
        <v>14</v>
      </c>
      <c r="B115" s="1">
        <f t="shared" si="47"/>
        <v>196</v>
      </c>
      <c r="C115" s="1">
        <f t="shared" si="48"/>
        <v>2.2050000000000001</v>
      </c>
      <c r="D115" s="1">
        <f t="shared" si="54"/>
        <v>4.2764305802563872E-4</v>
      </c>
      <c r="E115" s="2">
        <f t="shared" si="50"/>
        <v>64.264048120919227</v>
      </c>
      <c r="F115">
        <f t="shared" si="51"/>
        <v>1000</v>
      </c>
      <c r="G115" s="1">
        <f t="shared" si="52"/>
        <v>0.42764305802563873</v>
      </c>
      <c r="I115" s="2">
        <f t="shared" si="55"/>
        <v>12595.753431700168</v>
      </c>
    </row>
    <row r="116" spans="1:9">
      <c r="A116" s="1">
        <f t="shared" si="53"/>
        <v>15</v>
      </c>
      <c r="B116" s="1">
        <f t="shared" si="47"/>
        <v>225</v>
      </c>
      <c r="C116" s="1">
        <f t="shared" si="48"/>
        <v>2.53125</v>
      </c>
      <c r="D116" s="1">
        <f t="shared" si="54"/>
        <v>3.8405552526734249E-4</v>
      </c>
      <c r="E116" s="2">
        <f t="shared" si="50"/>
        <v>57.130451673350926</v>
      </c>
      <c r="F116">
        <f t="shared" si="51"/>
        <v>1000</v>
      </c>
      <c r="G116" s="1">
        <f t="shared" si="52"/>
        <v>0.38405552526734249</v>
      </c>
      <c r="I116" s="2">
        <f t="shared" si="55"/>
        <v>12854.351626503958</v>
      </c>
    </row>
    <row r="117" spans="1:9">
      <c r="A117" s="1">
        <f t="shared" si="53"/>
        <v>16</v>
      </c>
      <c r="B117" s="1">
        <f t="shared" si="47"/>
        <v>256</v>
      </c>
      <c r="C117" s="1">
        <f t="shared" si="48"/>
        <v>2.88</v>
      </c>
      <c r="D117" s="1">
        <f t="shared" si="54"/>
        <v>3.462386991777609E-4</v>
      </c>
      <c r="E117" s="2">
        <f t="shared" si="50"/>
        <v>51.07043634580814</v>
      </c>
      <c r="F117">
        <f t="shared" si="51"/>
        <v>1000</v>
      </c>
      <c r="G117" s="1">
        <f t="shared" si="52"/>
        <v>0.3462386991777609</v>
      </c>
      <c r="I117" s="2">
        <f t="shared" si="55"/>
        <v>13074.031704526884</v>
      </c>
    </row>
    <row r="118" spans="1:9">
      <c r="A118" s="1">
        <f t="shared" si="53"/>
        <v>17</v>
      </c>
      <c r="B118" s="1">
        <f t="shared" si="47"/>
        <v>289</v>
      </c>
      <c r="C118" s="1">
        <f t="shared" si="48"/>
        <v>3.2512499999999998</v>
      </c>
      <c r="D118" s="1">
        <f t="shared" si="54"/>
        <v>3.1333617449531576E-4</v>
      </c>
      <c r="E118" s="2">
        <f t="shared" si="50"/>
        <v>45.888820565533827</v>
      </c>
      <c r="F118">
        <f t="shared" si="51"/>
        <v>1000</v>
      </c>
      <c r="G118" s="1">
        <f t="shared" si="52"/>
        <v>0.31333617449531576</v>
      </c>
      <c r="I118" s="2">
        <f t="shared" si="55"/>
        <v>13261.869143439277</v>
      </c>
    </row>
    <row r="119" spans="1:9">
      <c r="A119" s="1">
        <f t="shared" si="53"/>
        <v>18</v>
      </c>
      <c r="B119" s="1">
        <f t="shared" si="47"/>
        <v>324</v>
      </c>
      <c r="C119" s="1">
        <f t="shared" si="48"/>
        <v>3.645</v>
      </c>
      <c r="D119" s="1">
        <f t="shared" si="54"/>
        <v>2.8461267648599722E-4</v>
      </c>
      <c r="E119" s="2">
        <f t="shared" si="50"/>
        <v>41.430512744025719</v>
      </c>
      <c r="F119">
        <f t="shared" si="51"/>
        <v>1000.0000000000001</v>
      </c>
      <c r="G119" s="1">
        <f t="shared" si="52"/>
        <v>0.28461267648599725</v>
      </c>
      <c r="I119" s="2">
        <f t="shared" si="55"/>
        <v>13423.486129064333</v>
      </c>
    </row>
    <row r="120" spans="1:9">
      <c r="A120" s="1">
        <f t="shared" si="53"/>
        <v>19</v>
      </c>
      <c r="B120" s="1">
        <f t="shared" si="47"/>
        <v>361</v>
      </c>
      <c r="C120" s="1">
        <f t="shared" si="48"/>
        <v>4.0612500000000002</v>
      </c>
      <c r="D120" s="1">
        <f t="shared" si="54"/>
        <v>2.5944516782532614E-4</v>
      </c>
      <c r="E120" s="2">
        <f t="shared" si="50"/>
        <v>37.571667956627266</v>
      </c>
      <c r="F120">
        <f t="shared" si="51"/>
        <v>1000</v>
      </c>
      <c r="G120" s="1">
        <f t="shared" si="52"/>
        <v>0.25944516782532612</v>
      </c>
      <c r="I120" s="2">
        <f t="shared" si="55"/>
        <v>13563.372132342443</v>
      </c>
    </row>
    <row r="121" spans="1:9">
      <c r="A121" s="1">
        <f t="shared" si="53"/>
        <v>20</v>
      </c>
      <c r="B121" s="1">
        <f t="shared" si="47"/>
        <v>400</v>
      </c>
      <c r="C121" s="1">
        <f t="shared" si="48"/>
        <v>4.5</v>
      </c>
      <c r="D121" s="1">
        <f t="shared" si="54"/>
        <v>2.3730931697577844E-4</v>
      </c>
      <c r="E121" s="2">
        <f t="shared" si="50"/>
        <v>34.212831180205825</v>
      </c>
      <c r="F121">
        <f t="shared" si="51"/>
        <v>1000.0000000000001</v>
      </c>
      <c r="G121" s="1">
        <f t="shared" si="52"/>
        <v>0.23730931697577848</v>
      </c>
      <c r="I121" s="2">
        <f t="shared" si="55"/>
        <v>13685.13247208233</v>
      </c>
    </row>
    <row r="122" spans="1:9">
      <c r="A122" s="1">
        <f t="shared" si="53"/>
        <v>21</v>
      </c>
      <c r="B122" s="1">
        <f t="shared" si="47"/>
        <v>441</v>
      </c>
      <c r="C122" s="1">
        <f t="shared" si="48"/>
        <v>4.9612499999999997</v>
      </c>
      <c r="D122" s="1">
        <f t="shared" si="54"/>
        <v>2.1776517995729632E-4</v>
      </c>
      <c r="E122" s="2">
        <f t="shared" si="50"/>
        <v>31.273650698340621</v>
      </c>
      <c r="F122">
        <f t="shared" si="51"/>
        <v>1000.0000000000001</v>
      </c>
      <c r="G122" s="1">
        <f t="shared" si="52"/>
        <v>0.21776517995729636</v>
      </c>
      <c r="I122" s="2">
        <f t="shared" si="55"/>
        <v>13791.679957968214</v>
      </c>
    </row>
    <row r="123" spans="1:9">
      <c r="A123" s="1">
        <f t="shared" si="53"/>
        <v>22</v>
      </c>
      <c r="B123" s="1">
        <f t="shared" si="47"/>
        <v>484</v>
      </c>
      <c r="C123" s="1">
        <f t="shared" si="48"/>
        <v>5.4449999999999994</v>
      </c>
      <c r="D123" s="1">
        <f t="shared" si="54"/>
        <v>2.0044382472942263E-4</v>
      </c>
      <c r="E123" s="2">
        <f t="shared" si="50"/>
        <v>28.688806775148603</v>
      </c>
      <c r="F123">
        <f t="shared" si="51"/>
        <v>999.99999999999989</v>
      </c>
      <c r="G123" s="1">
        <f t="shared" si="52"/>
        <v>0.2004438247294226</v>
      </c>
      <c r="I123" s="2">
        <f t="shared" si="55"/>
        <v>13885.382479171923</v>
      </c>
    </row>
    <row r="124" spans="1:9">
      <c r="A124" s="1">
        <f t="shared" si="53"/>
        <v>23</v>
      </c>
      <c r="B124" s="1">
        <f t="shared" si="47"/>
        <v>529</v>
      </c>
      <c r="C124" s="1">
        <f t="shared" si="48"/>
        <v>5.9512499999999999</v>
      </c>
      <c r="D124" s="1">
        <f t="shared" si="54"/>
        <v>1.8503555515082557E-4</v>
      </c>
      <c r="E124" s="2">
        <f t="shared" si="50"/>
        <v>26.404871170633552</v>
      </c>
      <c r="F124">
        <f t="shared" si="51"/>
        <v>999.99999999999989</v>
      </c>
      <c r="G124" s="1">
        <f t="shared" si="52"/>
        <v>0.18503555515082554</v>
      </c>
      <c r="I124" s="2">
        <f t="shared" si="55"/>
        <v>13968.176849265148</v>
      </c>
    </row>
    <row r="125" spans="1:9">
      <c r="A125" s="1">
        <f t="shared" si="53"/>
        <v>24</v>
      </c>
      <c r="B125" s="1">
        <f t="shared" si="47"/>
        <v>576</v>
      </c>
      <c r="C125" s="1">
        <f t="shared" si="48"/>
        <v>6.4799999999999995</v>
      </c>
      <c r="D125" s="1">
        <f t="shared" si="54"/>
        <v>1.7127987012998869E-4</v>
      </c>
      <c r="E125" s="2">
        <f t="shared" si="50"/>
        <v>24.377876589437552</v>
      </c>
      <c r="F125">
        <f t="shared" si="51"/>
        <v>999.99999999999989</v>
      </c>
      <c r="G125" s="1">
        <f t="shared" si="52"/>
        <v>0.17127987012998866</v>
      </c>
      <c r="I125" s="2">
        <f t="shared" si="55"/>
        <v>14041.65691551603</v>
      </c>
    </row>
    <row r="126" spans="1:9">
      <c r="A126" s="1">
        <f t="shared" si="53"/>
        <v>25</v>
      </c>
      <c r="B126" s="1">
        <f t="shared" si="47"/>
        <v>625</v>
      </c>
      <c r="C126" s="1">
        <f t="shared" si="48"/>
        <v>7.03125</v>
      </c>
      <c r="D126" s="1">
        <f t="shared" si="54"/>
        <v>1.589570571688324E-4</v>
      </c>
      <c r="E126" s="2">
        <f t="shared" si="50"/>
        <v>22.571427281632726</v>
      </c>
      <c r="F126">
        <f t="shared" si="51"/>
        <v>999.99999999999989</v>
      </c>
      <c r="G126" s="1">
        <f t="shared" si="52"/>
        <v>0.15895705716883238</v>
      </c>
      <c r="I126" s="2">
        <f t="shared" si="55"/>
        <v>14107.142051020453</v>
      </c>
    </row>
    <row r="127" spans="1:9">
      <c r="A127" s="1">
        <f t="shared" si="53"/>
        <v>26</v>
      </c>
      <c r="B127" s="1">
        <f t="shared" si="47"/>
        <v>676</v>
      </c>
      <c r="C127" s="1">
        <f t="shared" si="48"/>
        <v>7.6049999999999995</v>
      </c>
      <c r="D127" s="1">
        <f t="shared" si="54"/>
        <v>1.4788122741423305E-4</v>
      </c>
      <c r="E127" s="2">
        <f t="shared" si="50"/>
        <v>20.955222879750547</v>
      </c>
      <c r="F127">
        <f t="shared" si="51"/>
        <v>999.99999999999989</v>
      </c>
      <c r="G127" s="1">
        <f t="shared" si="52"/>
        <v>0.14788122741423304</v>
      </c>
      <c r="I127" s="2">
        <f t="shared" si="55"/>
        <v>14165.73066671137</v>
      </c>
    </row>
    <row r="128" spans="1:9">
      <c r="A128" s="1">
        <f t="shared" si="53"/>
        <v>27</v>
      </c>
      <c r="B128" s="1">
        <f t="shared" si="47"/>
        <v>729</v>
      </c>
      <c r="C128" s="1">
        <f t="shared" si="48"/>
        <v>8.2012499999999999</v>
      </c>
      <c r="D128" s="1">
        <f t="shared" si="54"/>
        <v>1.3789457780481667E-4</v>
      </c>
      <c r="E128" s="2">
        <f t="shared" si="50"/>
        <v>19.503898829375991</v>
      </c>
      <c r="F128">
        <f t="shared" si="51"/>
        <v>1000</v>
      </c>
      <c r="G128" s="1">
        <f t="shared" si="52"/>
        <v>0.13789457780481668</v>
      </c>
      <c r="I128" s="2">
        <f t="shared" si="55"/>
        <v>14218.342246615097</v>
      </c>
    </row>
    <row r="129" spans="1:9">
      <c r="A129" s="1">
        <f t="shared" si="53"/>
        <v>28</v>
      </c>
      <c r="B129" s="1">
        <f t="shared" si="47"/>
        <v>784</v>
      </c>
      <c r="C129" s="1">
        <f t="shared" si="48"/>
        <v>8.82</v>
      </c>
      <c r="D129" s="1">
        <f t="shared" si="54"/>
        <v>1.28862676680048E-4</v>
      </c>
      <c r="E129" s="2">
        <f t="shared" si="50"/>
        <v>18.196110399441014</v>
      </c>
      <c r="F129">
        <f t="shared" si="51"/>
        <v>1000</v>
      </c>
      <c r="G129" s="1">
        <f t="shared" si="52"/>
        <v>0.128862676680048</v>
      </c>
      <c r="I129" s="2">
        <f t="shared" si="55"/>
        <v>14265.750553161755</v>
      </c>
    </row>
    <row r="130" spans="1:9">
      <c r="A130" s="1">
        <f t="shared" si="53"/>
        <v>29</v>
      </c>
      <c r="B130" s="1">
        <f t="shared" si="47"/>
        <v>841</v>
      </c>
      <c r="C130" s="1">
        <f t="shared" si="48"/>
        <v>9.4612499999999997</v>
      </c>
      <c r="D130" s="1">
        <f t="shared" si="54"/>
        <v>1.2067059284849971E-4</v>
      </c>
      <c r="E130" s="2">
        <f t="shared" si="50"/>
        <v>17.013805001378117</v>
      </c>
      <c r="F130">
        <f t="shared" si="51"/>
        <v>999.99999999999989</v>
      </c>
      <c r="G130" s="1">
        <f t="shared" si="52"/>
        <v>0.12067059284849969</v>
      </c>
      <c r="I130" s="2">
        <f t="shared" si="55"/>
        <v>14308.610006158997</v>
      </c>
    </row>
    <row r="131" spans="1:9">
      <c r="A131" s="1">
        <f t="shared" si="53"/>
        <v>30</v>
      </c>
      <c r="B131" s="1">
        <f t="shared" si="47"/>
        <v>900</v>
      </c>
      <c r="C131" s="1">
        <f t="shared" si="48"/>
        <v>10.125</v>
      </c>
      <c r="D131" s="1">
        <f t="shared" si="54"/>
        <v>1.1321971502270051E-4</v>
      </c>
      <c r="E131" s="2">
        <f t="shared" si="50"/>
        <v>15.941640841208502</v>
      </c>
      <c r="F131">
        <f t="shared" si="51"/>
        <v>999.99999999999989</v>
      </c>
      <c r="G131" s="1">
        <f t="shared" si="52"/>
        <v>0.11321971502270051</v>
      </c>
      <c r="I131" s="2">
        <f t="shared" si="55"/>
        <v>14347.476757087652</v>
      </c>
    </row>
    <row r="132" spans="1:9">
      <c r="A132" s="1">
        <f t="shared" si="53"/>
        <v>31</v>
      </c>
      <c r="B132" s="1">
        <f t="shared" si="47"/>
        <v>961</v>
      </c>
      <c r="C132" s="1">
        <f t="shared" si="48"/>
        <v>10.811249999999999</v>
      </c>
      <c r="D132" s="1">
        <f t="shared" si="54"/>
        <v>1.0642513429720823E-4</v>
      </c>
      <c r="E132" s="2">
        <f t="shared" si="50"/>
        <v>14.966519894994898</v>
      </c>
      <c r="F132">
        <f t="shared" si="51"/>
        <v>1000</v>
      </c>
      <c r="G132" s="1">
        <f t="shared" si="52"/>
        <v>0.10642513429720822</v>
      </c>
      <c r="I132" s="2">
        <f t="shared" si="55"/>
        <v>14382.825619090097</v>
      </c>
    </row>
    <row r="133" spans="1:9">
      <c r="A133" s="1">
        <f t="shared" si="53"/>
        <v>32</v>
      </c>
      <c r="B133" s="1">
        <f t="shared" si="47"/>
        <v>1024</v>
      </c>
      <c r="C133" s="1">
        <f t="shared" si="48"/>
        <v>11.52</v>
      </c>
      <c r="D133" s="1">
        <f t="shared" si="54"/>
        <v>1.0021348518377877E-4</v>
      </c>
      <c r="E133" s="2">
        <f t="shared" si="50"/>
        <v>14.077210685165998</v>
      </c>
      <c r="F133">
        <f t="shared" si="51"/>
        <v>1000</v>
      </c>
      <c r="G133" s="1">
        <f t="shared" si="52"/>
        <v>0.10021348518377877</v>
      </c>
      <c r="I133" s="2">
        <f t="shared" si="55"/>
        <v>14415.063741609982</v>
      </c>
    </row>
    <row r="134" spans="1:9">
      <c r="A134" s="1">
        <f t="shared" si="53"/>
        <v>33</v>
      </c>
      <c r="B134" s="1">
        <f t="shared" si="47"/>
        <v>1089</v>
      </c>
      <c r="C134" s="1">
        <f t="shared" si="48"/>
        <v>12.251249999999999</v>
      </c>
      <c r="D134" s="1">
        <f t="shared" si="54"/>
        <v>9.4521160133879178E-5</v>
      </c>
      <c r="E134" s="2">
        <f t="shared" si="50"/>
        <v>13.264041978040051</v>
      </c>
      <c r="F134">
        <f t="shared" si="51"/>
        <v>1000</v>
      </c>
      <c r="G134" s="1">
        <f t="shared" si="52"/>
        <v>9.4521160133879178E-2</v>
      </c>
      <c r="I134" s="2">
        <f t="shared" si="55"/>
        <v>14444.541714085615</v>
      </c>
    </row>
    <row r="135" spans="1:9">
      <c r="A135" s="1">
        <f t="shared" si="53"/>
        <v>34</v>
      </c>
      <c r="B135" s="1">
        <f t="shared" si="47"/>
        <v>1156</v>
      </c>
      <c r="C135" s="1">
        <f t="shared" si="48"/>
        <v>13.004999999999999</v>
      </c>
      <c r="D135" s="1">
        <f t="shared" si="54"/>
        <v>8.9292828592311502E-5</v>
      </c>
      <c r="E135" s="2">
        <f t="shared" si="50"/>
        <v>12.518652792661065</v>
      </c>
      <c r="F135">
        <f t="shared" si="51"/>
        <v>999.99999999999989</v>
      </c>
      <c r="G135" s="1">
        <f t="shared" si="52"/>
        <v>8.9292828592311496E-2</v>
      </c>
      <c r="I135" s="2">
        <f t="shared" si="55"/>
        <v>14471.562628316191</v>
      </c>
    </row>
    <row r="136" spans="1:9">
      <c r="A136" s="1">
        <f t="shared" si="53"/>
        <v>35</v>
      </c>
      <c r="B136" s="1">
        <f t="shared" si="47"/>
        <v>1225</v>
      </c>
      <c r="C136" s="1">
        <f t="shared" si="48"/>
        <v>13.78125</v>
      </c>
      <c r="D136" s="1">
        <f t="shared" si="54"/>
        <v>8.448020480398767E-5</v>
      </c>
      <c r="E136" s="2">
        <f t="shared" si="50"/>
        <v>11.833787356308237</v>
      </c>
      <c r="F136">
        <f t="shared" si="51"/>
        <v>1000.0000000000001</v>
      </c>
      <c r="G136" s="1">
        <f t="shared" si="52"/>
        <v>8.4480204803987685E-2</v>
      </c>
      <c r="I136" s="2">
        <f t="shared" si="55"/>
        <v>14496.389511477591</v>
      </c>
    </row>
    <row r="137" spans="1:9">
      <c r="A137" s="1">
        <f t="shared" si="53"/>
        <v>36</v>
      </c>
      <c r="B137" s="1">
        <f t="shared" si="47"/>
        <v>1296</v>
      </c>
      <c r="C137" s="1">
        <f t="shared" si="48"/>
        <v>14.58</v>
      </c>
      <c r="D137" s="1">
        <f t="shared" si="54"/>
        <v>8.0041019278416335E-5</v>
      </c>
      <c r="E137" s="2">
        <f t="shared" si="50"/>
        <v>11.203126120312612</v>
      </c>
      <c r="F137">
        <f t="shared" si="51"/>
        <v>1000.0000000000001</v>
      </c>
      <c r="G137" s="1">
        <f t="shared" si="52"/>
        <v>8.004101927841635E-2</v>
      </c>
      <c r="I137" s="2">
        <f t="shared" si="55"/>
        <v>14519.251451925145</v>
      </c>
    </row>
    <row r="138" spans="1:9">
      <c r="A138" s="1">
        <f t="shared" si="53"/>
        <v>37</v>
      </c>
      <c r="B138" s="1">
        <f t="shared" si="47"/>
        <v>1369</v>
      </c>
      <c r="C138" s="1">
        <f t="shared" si="48"/>
        <v>15.401249999999999</v>
      </c>
      <c r="D138" s="1">
        <f t="shared" si="54"/>
        <v>7.593815743108369E-5</v>
      </c>
      <c r="E138" s="2">
        <f t="shared" si="50"/>
        <v>10.621145851699065</v>
      </c>
      <c r="F138">
        <f t="shared" si="51"/>
        <v>1000</v>
      </c>
      <c r="G138" s="1">
        <f t="shared" si="52"/>
        <v>7.5938157431083689E-2</v>
      </c>
      <c r="I138" s="2">
        <f t="shared" si="55"/>
        <v>14540.34867097602</v>
      </c>
    </row>
    <row r="139" spans="1:9">
      <c r="A139" s="1">
        <f t="shared" si="53"/>
        <v>38</v>
      </c>
      <c r="B139" s="1">
        <f t="shared" si="47"/>
        <v>1444</v>
      </c>
      <c r="C139" s="1">
        <f t="shared" si="48"/>
        <v>16.245000000000001</v>
      </c>
      <c r="D139" s="1">
        <f t="shared" si="54"/>
        <v>7.2138935848994375E-5</v>
      </c>
      <c r="E139" s="2">
        <f t="shared" si="50"/>
        <v>10.083003283025869</v>
      </c>
      <c r="F139">
        <f t="shared" si="51"/>
        <v>1000.0000000000001</v>
      </c>
      <c r="G139" s="1">
        <f t="shared" si="52"/>
        <v>7.2138935848994376E-2</v>
      </c>
      <c r="I139" s="2">
        <f t="shared" si="55"/>
        <v>14559.856740689354</v>
      </c>
    </row>
    <row r="140" spans="1:9">
      <c r="A140" s="1">
        <f t="shared" si="53"/>
        <v>39</v>
      </c>
      <c r="B140" s="1">
        <f t="shared" si="47"/>
        <v>1521</v>
      </c>
      <c r="C140" s="1">
        <f t="shared" si="48"/>
        <v>17.111249999999998</v>
      </c>
      <c r="D140" s="1">
        <f t="shared" si="54"/>
        <v>6.8614492193579951E-5</v>
      </c>
      <c r="E140" s="2">
        <f t="shared" si="50"/>
        <v>9.5844379398058948</v>
      </c>
      <c r="F140">
        <f t="shared" si="51"/>
        <v>1000</v>
      </c>
      <c r="G140" s="1">
        <f t="shared" si="52"/>
        <v>6.8614492193579957E-2</v>
      </c>
      <c r="I140" s="2">
        <f t="shared" si="55"/>
        <v>14577.930106444766</v>
      </c>
    </row>
    <row r="141" spans="1:9">
      <c r="A141" s="1">
        <f t="shared" si="53"/>
        <v>40</v>
      </c>
      <c r="B141" s="1">
        <f t="shared" si="47"/>
        <v>1600</v>
      </c>
      <c r="C141" s="1">
        <f t="shared" si="48"/>
        <v>18</v>
      </c>
      <c r="D141" s="1">
        <f t="shared" si="54"/>
        <v>6.5339269226443581E-5</v>
      </c>
      <c r="E141" s="2">
        <f t="shared" si="50"/>
        <v>9.1216906506319511</v>
      </c>
      <c r="F141">
        <f t="shared" si="51"/>
        <v>1000</v>
      </c>
      <c r="G141" s="1">
        <f t="shared" si="52"/>
        <v>6.5339269226443578E-2</v>
      </c>
      <c r="I141" s="2">
        <f t="shared" si="55"/>
        <v>14594.705041011122</v>
      </c>
    </row>
    <row r="149" spans="1:7">
      <c r="A149" t="s">
        <v>10</v>
      </c>
    </row>
    <row r="150" spans="1:7">
      <c r="A150" t="s">
        <v>11</v>
      </c>
      <c r="B150">
        <v>400</v>
      </c>
    </row>
    <row r="151" spans="1:7">
      <c r="C151" s="3"/>
      <c r="D151" s="2"/>
    </row>
    <row r="152" spans="1:7">
      <c r="A152" t="s">
        <v>9</v>
      </c>
      <c r="B152" t="s">
        <v>13</v>
      </c>
      <c r="C152" t="s">
        <v>14</v>
      </c>
      <c r="D152" s="2" t="s">
        <v>3</v>
      </c>
      <c r="E152" s="1" t="s">
        <v>1</v>
      </c>
      <c r="F152" s="3" t="s">
        <v>4</v>
      </c>
      <c r="G152" s="3" t="s">
        <v>5</v>
      </c>
    </row>
    <row r="153" spans="1:7">
      <c r="A153">
        <v>0</v>
      </c>
      <c r="B153">
        <f>A153*A153</f>
        <v>0</v>
      </c>
      <c r="C153">
        <f>0.017*B153</f>
        <v>0</v>
      </c>
      <c r="D153" s="2">
        <f>$A$3/($C$3*B153 + $G$3 * $E$3 *$B$150)</f>
        <v>3293.807641633729</v>
      </c>
      <c r="E153">
        <f>$C$3*D153*B39 +$G$3*0.66*400*D153</f>
        <v>1000</v>
      </c>
      <c r="F153" s="3">
        <f t="shared" ref="F153:F185" si="56">C153^(0.5)*D153^(1.5)*$B$150^(-1.25)</f>
        <v>0</v>
      </c>
      <c r="G153" s="3"/>
    </row>
    <row r="154" spans="1:7">
      <c r="A154">
        <f>A153+1</f>
        <v>1</v>
      </c>
      <c r="B154">
        <f t="shared" ref="B154:B185" si="57">A154*A154</f>
        <v>1</v>
      </c>
      <c r="C154">
        <f>0.18*B154</f>
        <v>0.18</v>
      </c>
      <c r="D154" s="2">
        <f>$A$3/($C$3*B154 + $G$3 * $E$3 *$B$150)</f>
        <v>2698.3270372369134</v>
      </c>
      <c r="E154">
        <f>$C$3*D154*B154 +$G$3*0.66*400*D154</f>
        <v>1000.0000000000001</v>
      </c>
      <c r="F154" s="3">
        <f>C154^(0.5)*D154^(1.5)*$B$150^(-1.25)</f>
        <v>33.243224378251362</v>
      </c>
      <c r="G154" s="3">
        <f>F154/E154</f>
        <v>3.3243224378251356E-2</v>
      </c>
    </row>
    <row r="155" spans="1:7">
      <c r="A155">
        <f t="shared" ref="A155:A185" si="58">A154+1</f>
        <v>2</v>
      </c>
      <c r="B155">
        <f t="shared" si="57"/>
        <v>4</v>
      </c>
      <c r="C155">
        <f t="shared" ref="C155:C185" si="59">0.18*B155</f>
        <v>0.72</v>
      </c>
      <c r="D155" s="2">
        <f t="shared" ref="D155:D176" si="60">$A$3/($C$3*B41 + $G$3 *$E$3*C$37)</f>
        <v>1749.4751574527643</v>
      </c>
      <c r="E155">
        <f t="shared" ref="E155:E185" si="61">$C$3*D155*B155 +$G$3*0.66*400*D155</f>
        <v>1000.0000000000001</v>
      </c>
      <c r="F155" s="3">
        <f t="shared" ref="F155:F185" si="62">C155^(0.5)*D155^(1.5)*$B$150^(-1.25)</f>
        <v>34.709865346917276</v>
      </c>
      <c r="G155" s="3">
        <f t="shared" ref="G155:G169" si="63">F155/E155</f>
        <v>3.4709865346917272E-2</v>
      </c>
    </row>
    <row r="156" spans="1:7">
      <c r="A156">
        <f t="shared" si="58"/>
        <v>3</v>
      </c>
      <c r="B156">
        <f t="shared" si="57"/>
        <v>9</v>
      </c>
      <c r="C156">
        <f t="shared" si="59"/>
        <v>1.6199999999999999</v>
      </c>
      <c r="D156" s="2">
        <f t="shared" si="60"/>
        <v>1103.0222810500773</v>
      </c>
      <c r="E156">
        <f t="shared" si="61"/>
        <v>1000.0000000000001</v>
      </c>
      <c r="F156" s="3">
        <f t="shared" si="62"/>
        <v>26.065073026501103</v>
      </c>
      <c r="G156" s="3">
        <f t="shared" si="63"/>
        <v>2.6065073026501101E-2</v>
      </c>
    </row>
    <row r="157" spans="1:7">
      <c r="A157">
        <f t="shared" si="58"/>
        <v>4</v>
      </c>
      <c r="B157">
        <f t="shared" si="57"/>
        <v>16</v>
      </c>
      <c r="C157">
        <f t="shared" si="59"/>
        <v>2.88</v>
      </c>
      <c r="D157" s="2">
        <f t="shared" si="60"/>
        <v>726.9555103227683</v>
      </c>
      <c r="E157">
        <f t="shared" si="61"/>
        <v>1000.0000000000001</v>
      </c>
      <c r="F157" s="3">
        <f t="shared" si="62"/>
        <v>18.594435741820266</v>
      </c>
      <c r="G157" s="3">
        <f t="shared" si="63"/>
        <v>1.8594435741820264E-2</v>
      </c>
    </row>
    <row r="158" spans="1:7">
      <c r="A158">
        <f t="shared" si="58"/>
        <v>5</v>
      </c>
      <c r="B158">
        <f t="shared" si="57"/>
        <v>25</v>
      </c>
      <c r="C158">
        <f t="shared" si="59"/>
        <v>4.5</v>
      </c>
      <c r="D158" s="2">
        <f t="shared" si="60"/>
        <v>505.40786414636608</v>
      </c>
      <c r="E158">
        <f t="shared" si="61"/>
        <v>1000</v>
      </c>
      <c r="F158" s="3">
        <f t="shared" si="62"/>
        <v>13.473929188622215</v>
      </c>
      <c r="G158" s="3">
        <f t="shared" si="63"/>
        <v>1.3473929188622214E-2</v>
      </c>
    </row>
    <row r="159" spans="1:7">
      <c r="A159">
        <f t="shared" si="58"/>
        <v>6</v>
      </c>
      <c r="B159">
        <f t="shared" si="57"/>
        <v>36</v>
      </c>
      <c r="C159">
        <f t="shared" si="59"/>
        <v>6.4799999999999995</v>
      </c>
      <c r="D159" s="2">
        <f t="shared" si="60"/>
        <v>368.24274561791134</v>
      </c>
      <c r="E159">
        <f t="shared" si="61"/>
        <v>1000.0000000000001</v>
      </c>
      <c r="F159" s="3">
        <f t="shared" si="62"/>
        <v>10.055734860104476</v>
      </c>
      <c r="G159" s="3">
        <f t="shared" si="63"/>
        <v>1.0055734860104474E-2</v>
      </c>
    </row>
    <row r="160" spans="1:7">
      <c r="A160">
        <f t="shared" si="58"/>
        <v>7</v>
      </c>
      <c r="B160">
        <f t="shared" si="57"/>
        <v>49</v>
      </c>
      <c r="C160">
        <f t="shared" si="59"/>
        <v>8.82</v>
      </c>
      <c r="D160" s="2">
        <f t="shared" si="60"/>
        <v>278.81559136786927</v>
      </c>
      <c r="E160">
        <f t="shared" si="61"/>
        <v>1000</v>
      </c>
      <c r="F160" s="3">
        <f t="shared" si="62"/>
        <v>7.7292060862882082</v>
      </c>
      <c r="G160" s="3">
        <f t="shared" si="63"/>
        <v>7.7292060862882081E-3</v>
      </c>
    </row>
    <row r="161" spans="1:7">
      <c r="A161">
        <f t="shared" si="58"/>
        <v>8</v>
      </c>
      <c r="B161">
        <f t="shared" si="57"/>
        <v>64</v>
      </c>
      <c r="C161">
        <f t="shared" si="59"/>
        <v>11.52</v>
      </c>
      <c r="D161" s="2">
        <f t="shared" si="60"/>
        <v>217.78900601097655</v>
      </c>
      <c r="E161">
        <f t="shared" si="61"/>
        <v>999.99999999999989</v>
      </c>
      <c r="F161" s="3">
        <f t="shared" si="62"/>
        <v>6.0982493696506124</v>
      </c>
      <c r="G161" s="3">
        <f t="shared" si="63"/>
        <v>6.0982493696506131E-3</v>
      </c>
    </row>
    <row r="162" spans="1:7">
      <c r="A162">
        <f t="shared" si="58"/>
        <v>9</v>
      </c>
      <c r="B162">
        <f t="shared" si="57"/>
        <v>81</v>
      </c>
      <c r="C162">
        <f t="shared" si="59"/>
        <v>14.58</v>
      </c>
      <c r="D162" s="2">
        <f t="shared" si="60"/>
        <v>174.50179736851288</v>
      </c>
      <c r="E162">
        <f t="shared" si="61"/>
        <v>1000</v>
      </c>
      <c r="F162" s="3">
        <f t="shared" si="62"/>
        <v>4.9204364796662983</v>
      </c>
      <c r="G162" s="3">
        <f t="shared" si="63"/>
        <v>4.9204364796662983E-3</v>
      </c>
    </row>
    <row r="163" spans="1:7">
      <c r="A163">
        <f t="shared" si="58"/>
        <v>10</v>
      </c>
      <c r="B163">
        <f t="shared" si="57"/>
        <v>100</v>
      </c>
      <c r="C163">
        <f t="shared" si="59"/>
        <v>18</v>
      </c>
      <c r="D163" s="2">
        <f t="shared" si="60"/>
        <v>142.78371123422238</v>
      </c>
      <c r="E163">
        <f t="shared" si="61"/>
        <v>999.99999999999989</v>
      </c>
      <c r="F163" s="3">
        <f t="shared" si="62"/>
        <v>4.0464973686738084</v>
      </c>
      <c r="G163" s="3">
        <f t="shared" si="63"/>
        <v>4.046497368673809E-3</v>
      </c>
    </row>
    <row r="164" spans="1:7">
      <c r="A164">
        <f t="shared" si="58"/>
        <v>11</v>
      </c>
      <c r="B164">
        <f t="shared" si="57"/>
        <v>121</v>
      </c>
      <c r="C164">
        <f t="shared" si="59"/>
        <v>21.779999999999998</v>
      </c>
      <c r="D164" s="2">
        <f t="shared" si="60"/>
        <v>118.89758162318978</v>
      </c>
      <c r="E164">
        <f t="shared" si="61"/>
        <v>1000</v>
      </c>
      <c r="F164" s="3">
        <f t="shared" si="62"/>
        <v>3.382310550330605</v>
      </c>
      <c r="G164" s="3">
        <f t="shared" si="63"/>
        <v>3.3823105503306052E-3</v>
      </c>
    </row>
    <row r="165" spans="1:7">
      <c r="A165">
        <f t="shared" si="58"/>
        <v>12</v>
      </c>
      <c r="B165">
        <f t="shared" si="57"/>
        <v>144</v>
      </c>
      <c r="C165">
        <f t="shared" si="59"/>
        <v>25.919999999999998</v>
      </c>
      <c r="D165" s="2">
        <f t="shared" si="60"/>
        <v>100.48635395313318</v>
      </c>
      <c r="E165">
        <f t="shared" si="61"/>
        <v>1000.0000000000002</v>
      </c>
      <c r="F165" s="3">
        <f t="shared" si="62"/>
        <v>2.8668379331697751</v>
      </c>
      <c r="G165" s="3">
        <f t="shared" si="63"/>
        <v>2.8668379331697746E-3</v>
      </c>
    </row>
    <row r="166" spans="1:7">
      <c r="A166">
        <f t="shared" si="58"/>
        <v>13</v>
      </c>
      <c r="B166">
        <f t="shared" si="57"/>
        <v>169</v>
      </c>
      <c r="C166">
        <f t="shared" si="59"/>
        <v>30.419999999999998</v>
      </c>
      <c r="D166" s="2">
        <f t="shared" si="60"/>
        <v>86.009667486625503</v>
      </c>
      <c r="E166">
        <f t="shared" si="61"/>
        <v>1000.0000000000002</v>
      </c>
      <c r="F166" s="3">
        <f t="shared" si="62"/>
        <v>2.4593793303809459</v>
      </c>
      <c r="G166" s="3">
        <f t="shared" si="63"/>
        <v>2.4593793303809455E-3</v>
      </c>
    </row>
    <row r="167" spans="1:7">
      <c r="A167">
        <f t="shared" si="58"/>
        <v>14</v>
      </c>
      <c r="B167">
        <f t="shared" si="57"/>
        <v>196</v>
      </c>
      <c r="C167">
        <f t="shared" si="59"/>
        <v>35.28</v>
      </c>
      <c r="D167" s="2">
        <f t="shared" si="60"/>
        <v>74.429128583762534</v>
      </c>
      <c r="E167">
        <f t="shared" si="61"/>
        <v>999.99999999999989</v>
      </c>
      <c r="F167" s="3">
        <f t="shared" si="62"/>
        <v>2.1320810027027188</v>
      </c>
      <c r="G167" s="3">
        <f t="shared" si="63"/>
        <v>2.1320810027027192E-3</v>
      </c>
    </row>
    <row r="168" spans="1:7">
      <c r="A168">
        <f t="shared" si="58"/>
        <v>15</v>
      </c>
      <c r="B168">
        <f t="shared" si="57"/>
        <v>225</v>
      </c>
      <c r="C168">
        <f t="shared" si="59"/>
        <v>40.5</v>
      </c>
      <c r="D168" s="2">
        <f t="shared" si="60"/>
        <v>65.025424941151982</v>
      </c>
      <c r="E168">
        <f t="shared" si="61"/>
        <v>1000</v>
      </c>
      <c r="F168" s="3">
        <f t="shared" si="62"/>
        <v>1.8654229732788217</v>
      </c>
      <c r="G168" s="3">
        <f t="shared" si="63"/>
        <v>1.8654229732788217E-3</v>
      </c>
    </row>
    <row r="169" spans="1:7">
      <c r="A169">
        <f t="shared" si="58"/>
        <v>16</v>
      </c>
      <c r="B169">
        <f t="shared" si="57"/>
        <v>256</v>
      </c>
      <c r="C169">
        <f t="shared" si="59"/>
        <v>46.08</v>
      </c>
      <c r="D169" s="2">
        <f t="shared" si="60"/>
        <v>57.288205504250783</v>
      </c>
      <c r="E169">
        <f t="shared" si="61"/>
        <v>1000</v>
      </c>
      <c r="F169" s="3">
        <f t="shared" si="62"/>
        <v>1.6454287222259902</v>
      </c>
      <c r="G169" s="3">
        <f t="shared" si="63"/>
        <v>1.6454287222259902E-3</v>
      </c>
    </row>
    <row r="170" spans="1:7">
      <c r="A170">
        <f t="shared" si="58"/>
        <v>17</v>
      </c>
      <c r="B170">
        <f t="shared" si="57"/>
        <v>289</v>
      </c>
      <c r="C170">
        <f t="shared" si="59"/>
        <v>52.019999999999996</v>
      </c>
      <c r="D170" s="2">
        <f t="shared" si="60"/>
        <v>50.84762999196608</v>
      </c>
      <c r="E170">
        <f t="shared" si="61"/>
        <v>1000.0000000000001</v>
      </c>
      <c r="F170" s="3">
        <f t="shared" si="62"/>
        <v>1.4618952590089958</v>
      </c>
      <c r="G170" s="3">
        <f t="shared" ref="G170:G176" si="64">F170/E170</f>
        <v>1.4618952590089956E-3</v>
      </c>
    </row>
    <row r="171" spans="1:7">
      <c r="A171">
        <f t="shared" si="58"/>
        <v>18</v>
      </c>
      <c r="B171">
        <f t="shared" si="57"/>
        <v>324</v>
      </c>
      <c r="C171">
        <f t="shared" si="59"/>
        <v>58.32</v>
      </c>
      <c r="D171" s="2">
        <f t="shared" si="60"/>
        <v>45.430591142851945</v>
      </c>
      <c r="E171">
        <f t="shared" si="61"/>
        <v>1000</v>
      </c>
      <c r="F171" s="3">
        <f t="shared" si="62"/>
        <v>1.3072430763818881</v>
      </c>
      <c r="G171" s="3">
        <f t="shared" si="64"/>
        <v>1.307243076381888E-3</v>
      </c>
    </row>
    <row r="172" spans="1:7">
      <c r="A172">
        <f t="shared" si="58"/>
        <v>19</v>
      </c>
      <c r="B172">
        <f t="shared" si="57"/>
        <v>361</v>
      </c>
      <c r="C172">
        <f t="shared" si="59"/>
        <v>64.98</v>
      </c>
      <c r="D172" s="2">
        <f t="shared" si="60"/>
        <v>40.831992682906908</v>
      </c>
      <c r="E172">
        <f t="shared" si="61"/>
        <v>1000</v>
      </c>
      <c r="F172" s="3">
        <f t="shared" si="62"/>
        <v>1.1757520013351253</v>
      </c>
      <c r="G172" s="3">
        <f t="shared" si="64"/>
        <v>1.1757520013351253E-3</v>
      </c>
    </row>
    <row r="173" spans="1:7">
      <c r="A173">
        <f t="shared" si="58"/>
        <v>20</v>
      </c>
      <c r="B173">
        <f t="shared" si="57"/>
        <v>400</v>
      </c>
      <c r="C173">
        <f t="shared" si="59"/>
        <v>72</v>
      </c>
      <c r="D173" s="2">
        <f t="shared" si="60"/>
        <v>36.895467760740267</v>
      </c>
      <c r="E173">
        <f t="shared" si="61"/>
        <v>1000</v>
      </c>
      <c r="F173" s="3">
        <f t="shared" si="62"/>
        <v>1.0630428973262254</v>
      </c>
      <c r="G173" s="3">
        <f t="shared" si="64"/>
        <v>1.0630428973262254E-3</v>
      </c>
    </row>
    <row r="174" spans="1:7">
      <c r="A174">
        <f t="shared" si="58"/>
        <v>21</v>
      </c>
      <c r="B174">
        <f t="shared" si="57"/>
        <v>441</v>
      </c>
      <c r="C174">
        <f t="shared" si="59"/>
        <v>79.38</v>
      </c>
      <c r="D174" s="2">
        <f t="shared" si="60"/>
        <v>33.500164150804338</v>
      </c>
      <c r="E174">
        <f t="shared" si="61"/>
        <v>1000</v>
      </c>
      <c r="F174" s="3">
        <f t="shared" si="62"/>
        <v>0.9657194108290913</v>
      </c>
      <c r="G174" s="3">
        <f t="shared" si="64"/>
        <v>9.6571941082909132E-4</v>
      </c>
    </row>
    <row r="175" spans="1:7">
      <c r="A175">
        <f t="shared" si="58"/>
        <v>22</v>
      </c>
      <c r="B175">
        <f t="shared" si="57"/>
        <v>484</v>
      </c>
      <c r="C175">
        <f t="shared" si="59"/>
        <v>87.11999999999999</v>
      </c>
      <c r="D175" s="2">
        <f t="shared" si="60"/>
        <v>30.551515966222237</v>
      </c>
      <c r="E175">
        <f t="shared" si="61"/>
        <v>999.99999999999989</v>
      </c>
      <c r="F175" s="3">
        <f t="shared" si="62"/>
        <v>0.88111600780271893</v>
      </c>
      <c r="G175" s="3">
        <f t="shared" si="64"/>
        <v>8.8111600780271901E-4</v>
      </c>
    </row>
    <row r="176" spans="1:7">
      <c r="A176">
        <f t="shared" si="58"/>
        <v>23</v>
      </c>
      <c r="B176">
        <f t="shared" si="57"/>
        <v>529</v>
      </c>
      <c r="C176">
        <f t="shared" si="59"/>
        <v>95.22</v>
      </c>
      <c r="D176" s="2">
        <f t="shared" si="60"/>
        <v>27.974688501843527</v>
      </c>
      <c r="E176">
        <f t="shared" si="61"/>
        <v>999.99999999999989</v>
      </c>
      <c r="F176" s="3">
        <f t="shared" si="62"/>
        <v>0.80711791744760775</v>
      </c>
      <c r="G176" s="3">
        <f t="shared" si="64"/>
        <v>8.0711791744760789E-4</v>
      </c>
    </row>
    <row r="177" spans="1:7">
      <c r="A177">
        <f t="shared" si="58"/>
        <v>24</v>
      </c>
      <c r="B177">
        <f t="shared" si="57"/>
        <v>576</v>
      </c>
      <c r="C177">
        <f t="shared" si="59"/>
        <v>103.67999999999999</v>
      </c>
      <c r="D177" s="2">
        <f t="shared" ref="D177:D185" si="65">$A$3/($C$3*B177 + $G$3 * $E$3 *$B$150)</f>
        <v>25.709848928927691</v>
      </c>
      <c r="E177">
        <f t="shared" si="61"/>
        <v>1000</v>
      </c>
      <c r="F177" s="3">
        <f t="shared" si="62"/>
        <v>0.74203056077070761</v>
      </c>
      <c r="G177" s="3">
        <f t="shared" ref="G177:G185" si="66">F177/E177</f>
        <v>7.4203056077070762E-4</v>
      </c>
    </row>
    <row r="178" spans="1:7">
      <c r="A178">
        <f t="shared" si="58"/>
        <v>25</v>
      </c>
      <c r="B178">
        <f t="shared" si="57"/>
        <v>625</v>
      </c>
      <c r="C178">
        <f t="shared" si="59"/>
        <v>112.5</v>
      </c>
      <c r="D178" s="2">
        <f t="shared" si="65"/>
        <v>23.708705362434976</v>
      </c>
      <c r="E178">
        <f t="shared" si="61"/>
        <v>1000</v>
      </c>
      <c r="F178" s="3">
        <f t="shared" si="62"/>
        <v>0.68448357530684267</v>
      </c>
      <c r="G178" s="3">
        <f t="shared" si="66"/>
        <v>6.8448357530684269E-4</v>
      </c>
    </row>
    <row r="179" spans="1:7">
      <c r="A179">
        <f t="shared" si="58"/>
        <v>26</v>
      </c>
      <c r="B179">
        <f t="shared" si="57"/>
        <v>676</v>
      </c>
      <c r="C179">
        <f t="shared" si="59"/>
        <v>121.67999999999999</v>
      </c>
      <c r="D179" s="2">
        <f t="shared" si="65"/>
        <v>21.931940801305387</v>
      </c>
      <c r="E179">
        <f t="shared" si="61"/>
        <v>1000</v>
      </c>
      <c r="F179" s="3">
        <f t="shared" si="62"/>
        <v>0.63335938293517624</v>
      </c>
      <c r="G179" s="3">
        <f t="shared" si="66"/>
        <v>6.333593829351762E-4</v>
      </c>
    </row>
    <row r="180" spans="1:7">
      <c r="A180">
        <f t="shared" si="58"/>
        <v>27</v>
      </c>
      <c r="B180">
        <f t="shared" si="57"/>
        <v>729</v>
      </c>
      <c r="C180">
        <f t="shared" si="59"/>
        <v>131.22</v>
      </c>
      <c r="D180" s="2">
        <f t="shared" si="65"/>
        <v>20.347287503102958</v>
      </c>
      <c r="E180">
        <f t="shared" si="61"/>
        <v>999.99999999999989</v>
      </c>
      <c r="F180" s="3">
        <f t="shared" si="62"/>
        <v>0.58773940636941446</v>
      </c>
      <c r="G180" s="3">
        <f t="shared" si="66"/>
        <v>5.8773940636941456E-4</v>
      </c>
    </row>
    <row r="181" spans="1:7">
      <c r="A181">
        <f t="shared" si="58"/>
        <v>28</v>
      </c>
      <c r="B181">
        <f t="shared" si="57"/>
        <v>784</v>
      </c>
      <c r="C181">
        <f t="shared" si="59"/>
        <v>141.12</v>
      </c>
      <c r="D181" s="2">
        <f t="shared" si="65"/>
        <v>18.92806577881419</v>
      </c>
      <c r="E181">
        <f t="shared" si="61"/>
        <v>999.99999999999989</v>
      </c>
      <c r="F181" s="3">
        <f t="shared" si="62"/>
        <v>0.54686313719455504</v>
      </c>
      <c r="G181" s="3">
        <f t="shared" si="66"/>
        <v>5.4686313719455506E-4</v>
      </c>
    </row>
    <row r="182" spans="1:7">
      <c r="A182">
        <f t="shared" si="58"/>
        <v>29</v>
      </c>
      <c r="B182">
        <f t="shared" si="57"/>
        <v>841</v>
      </c>
      <c r="C182">
        <f t="shared" si="59"/>
        <v>151.38</v>
      </c>
      <c r="D182" s="2">
        <f t="shared" si="65"/>
        <v>17.652063702767489</v>
      </c>
      <c r="E182">
        <f t="shared" si="61"/>
        <v>1000</v>
      </c>
      <c r="F182" s="3">
        <f t="shared" si="62"/>
        <v>0.51009667233754619</v>
      </c>
      <c r="G182" s="3">
        <f t="shared" si="66"/>
        <v>5.1009667233754624E-4</v>
      </c>
    </row>
    <row r="183" spans="1:7">
      <c r="A183">
        <f t="shared" si="58"/>
        <v>30</v>
      </c>
      <c r="B183">
        <f t="shared" si="57"/>
        <v>900</v>
      </c>
      <c r="C183">
        <f t="shared" si="59"/>
        <v>162</v>
      </c>
      <c r="D183" s="2">
        <f t="shared" si="65"/>
        <v>16.500669927199041</v>
      </c>
      <c r="E183">
        <f t="shared" si="61"/>
        <v>999.99999999999977</v>
      </c>
      <c r="F183" s="3">
        <f t="shared" si="62"/>
        <v>0.47690830290379399</v>
      </c>
      <c r="G183" s="3">
        <f t="shared" si="66"/>
        <v>4.7690830290379412E-4</v>
      </c>
    </row>
    <row r="184" spans="1:7">
      <c r="A184">
        <f t="shared" si="58"/>
        <v>31</v>
      </c>
      <c r="B184">
        <f t="shared" si="57"/>
        <v>961</v>
      </c>
      <c r="C184">
        <f t="shared" si="59"/>
        <v>172.98</v>
      </c>
      <c r="D184" s="2">
        <f t="shared" si="65"/>
        <v>15.458196399476893</v>
      </c>
      <c r="E184">
        <f t="shared" si="61"/>
        <v>1000</v>
      </c>
      <c r="F184" s="3">
        <f t="shared" si="62"/>
        <v>0.44684940955828328</v>
      </c>
      <c r="G184" s="3">
        <f t="shared" si="66"/>
        <v>4.4684940955828326E-4</v>
      </c>
    </row>
    <row r="185" spans="1:7">
      <c r="A185">
        <f t="shared" si="58"/>
        <v>32</v>
      </c>
      <c r="B185">
        <f t="shared" si="57"/>
        <v>1024</v>
      </c>
      <c r="C185">
        <f t="shared" si="59"/>
        <v>184.32</v>
      </c>
      <c r="D185" s="2">
        <f t="shared" si="65"/>
        <v>14.511344969497152</v>
      </c>
      <c r="E185">
        <f t="shared" si="61"/>
        <v>1000</v>
      </c>
      <c r="F185" s="3">
        <f t="shared" si="62"/>
        <v>0.41953938901073534</v>
      </c>
      <c r="G185" s="3">
        <f t="shared" si="66"/>
        <v>4.1953938901073532E-4</v>
      </c>
    </row>
  </sheetData>
  <sheetCalcPr fullCalcOnLoad="1"/>
  <phoneticPr fontId="1" type="noConversion"/>
  <pageMargins left="0.75" right="0.75" top="1" bottom="1" header="0.5" footer="0.5"/>
  <pageSetup paperSize="0" orientation="portrait" horizontalDpi="4294967292" verticalDpi="4294967292"/>
  <drawing r:id="rId1"/>
  <extLst>
    <ext xmlns:mx="http://schemas.microsoft.com/office/mac/excel/2008/main" uri="http://schemas.microsoft.com/office/mac/excel/2008/main">
      <mx:PLV Mode="1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dimension ref="A1"/>
  <sheetViews>
    <sheetView view="pageLayout" zoomScale="150" workbookViewId="0">
      <selection activeCell="F34" sqref="F34"/>
    </sheetView>
  </sheetViews>
  <sheetFormatPr baseColWidth="10" defaultRowHeight="13"/>
  <sheetData/>
  <phoneticPr fontId="1" type="noConversion"/>
  <pageMargins left="0.75" right="0.75" top="1" bottom="1" header="0.5" footer="0.5"/>
  <pageSetup paperSize="0" orientation="portrait" horizontalDpi="4294967292" verticalDpi="4294967292"/>
  <drawing r:id="rId1"/>
  <extLst>
    <ext xmlns:mx="http://schemas.microsoft.com/office/mac/excel/2008/main" uri="http://schemas.microsoft.com/office/mac/excel/2008/main">
      <mx:PLV Mode="1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dimension ref="A1:O196"/>
  <sheetViews>
    <sheetView tabSelected="1" view="pageLayout" topLeftCell="A4" workbookViewId="0">
      <selection activeCell="H4" sqref="H4"/>
    </sheetView>
  </sheetViews>
  <sheetFormatPr baseColWidth="10" defaultRowHeight="13"/>
  <cols>
    <col min="1" max="1" width="6" customWidth="1"/>
    <col min="2" max="2" width="6.42578125" customWidth="1"/>
    <col min="3" max="3" width="6.140625" customWidth="1"/>
    <col min="4" max="4" width="5.85546875" customWidth="1"/>
    <col min="5" max="5" width="5.42578125" customWidth="1"/>
    <col min="6" max="6" width="6.7109375" customWidth="1"/>
    <col min="7" max="7" width="6.42578125" customWidth="1"/>
    <col min="8" max="8" width="6" customWidth="1"/>
    <col min="9" max="9" width="6.140625" customWidth="1"/>
    <col min="10" max="10" width="6.42578125" customWidth="1"/>
    <col min="11" max="11" width="5.85546875" customWidth="1"/>
    <col min="12" max="12" width="6.28515625" customWidth="1"/>
    <col min="13" max="13" width="6.7109375" customWidth="1"/>
    <col min="14" max="14" width="8.140625" customWidth="1"/>
    <col min="15" max="15" width="6.28515625" customWidth="1"/>
  </cols>
  <sheetData>
    <row r="1" spans="1:15">
      <c r="A1" t="s">
        <v>19</v>
      </c>
      <c r="E1" s="3"/>
      <c r="I1" s="3"/>
      <c r="J1" s="3"/>
      <c r="L1" s="3"/>
      <c r="M1" s="3"/>
      <c r="N1" s="3"/>
      <c r="O1" s="3"/>
    </row>
    <row r="2" spans="1:15">
      <c r="A2" t="s">
        <v>0</v>
      </c>
      <c r="B2" t="s">
        <v>21</v>
      </c>
      <c r="C2" t="s">
        <v>8</v>
      </c>
      <c r="D2" t="s">
        <v>22</v>
      </c>
      <c r="E2" s="3" t="s">
        <v>15</v>
      </c>
      <c r="G2" t="s">
        <v>2</v>
      </c>
      <c r="H2" t="s">
        <v>33</v>
      </c>
      <c r="I2" s="3"/>
      <c r="J2" s="3"/>
      <c r="L2" s="3"/>
      <c r="M2" s="3"/>
      <c r="N2" s="3"/>
      <c r="O2" s="3"/>
    </row>
    <row r="3" spans="1:15">
      <c r="A3">
        <v>1000</v>
      </c>
      <c r="B3">
        <v>2.9000000000000001E-2</v>
      </c>
      <c r="C3">
        <f>0.067</f>
        <v>6.7000000000000004E-2</v>
      </c>
      <c r="D3">
        <f>2.3*10^(-3)</f>
        <v>2.3E-3</v>
      </c>
      <c r="E3" s="3">
        <v>0.66</v>
      </c>
      <c r="G3">
        <f>D3/2</f>
        <v>1.15E-3</v>
      </c>
      <c r="H3">
        <v>-1.5</v>
      </c>
      <c r="I3" s="3"/>
      <c r="J3" s="3"/>
      <c r="L3" s="3"/>
      <c r="M3" s="3"/>
      <c r="N3" s="3"/>
      <c r="O3" s="3"/>
    </row>
    <row r="4" spans="1:15">
      <c r="E4" s="3"/>
      <c r="I4" s="3"/>
      <c r="J4" s="3"/>
      <c r="L4" s="3"/>
      <c r="M4" s="3"/>
      <c r="N4" s="3"/>
      <c r="O4" s="3"/>
    </row>
    <row r="5" spans="1:15">
      <c r="C5" t="s">
        <v>11</v>
      </c>
      <c r="D5">
        <v>400</v>
      </c>
      <c r="E5" s="3"/>
      <c r="F5">
        <v>800</v>
      </c>
      <c r="I5" s="3"/>
      <c r="J5" s="3">
        <v>1600</v>
      </c>
      <c r="L5" s="3"/>
      <c r="M5" s="3"/>
      <c r="N5" s="3" t="s">
        <v>6</v>
      </c>
      <c r="O5" s="3" t="s">
        <v>7</v>
      </c>
    </row>
    <row r="6" spans="1:15">
      <c r="A6" t="s">
        <v>18</v>
      </c>
      <c r="B6" t="s">
        <v>30</v>
      </c>
      <c r="E6" s="3"/>
      <c r="I6" s="3"/>
      <c r="J6" s="3"/>
      <c r="L6" s="3"/>
      <c r="M6" s="3"/>
      <c r="N6" s="3">
        <v>400</v>
      </c>
      <c r="O6" s="3"/>
    </row>
    <row r="7" spans="1:15">
      <c r="A7" t="s">
        <v>17</v>
      </c>
      <c r="C7" t="s">
        <v>31</v>
      </c>
      <c r="D7" t="s">
        <v>32</v>
      </c>
      <c r="E7" s="3" t="s">
        <v>25</v>
      </c>
      <c r="F7" t="s">
        <v>30</v>
      </c>
      <c r="G7" t="s">
        <v>0</v>
      </c>
      <c r="H7" t="s">
        <v>32</v>
      </c>
      <c r="I7" s="3" t="s">
        <v>25</v>
      </c>
      <c r="J7" s="3" t="s">
        <v>30</v>
      </c>
      <c r="K7" t="s">
        <v>0</v>
      </c>
      <c r="L7" s="3" t="s">
        <v>32</v>
      </c>
      <c r="M7" s="3" t="s">
        <v>25</v>
      </c>
      <c r="N7" s="3"/>
      <c r="O7" s="3"/>
    </row>
    <row r="8" spans="1:15">
      <c r="E8" s="3"/>
      <c r="I8" s="3"/>
      <c r="J8" s="3"/>
      <c r="L8" s="3"/>
      <c r="M8" s="3"/>
      <c r="N8" s="3"/>
      <c r="O8" s="3"/>
    </row>
    <row r="9" spans="1:15">
      <c r="A9" s="1">
        <v>0</v>
      </c>
      <c r="B9">
        <f t="shared" ref="B9:B34" si="0">$A$3/($B$3*A9^(1.25) +$D$3*$E$3*D$5)</f>
        <v>1646.9038208168645</v>
      </c>
      <c r="C9">
        <f>B$3*A9^(1.25) *B9 +D$3*$D$5*E$3*B9</f>
        <v>1000</v>
      </c>
      <c r="D9" s="1">
        <f t="shared" ref="D9:D34" si="1">+A9^(-1-$H$3)*B9^(-1*$H$3)*D$5^(-2-$H$3/2)</f>
        <v>0</v>
      </c>
      <c r="E9" s="3">
        <f>D9/C9</f>
        <v>0</v>
      </c>
      <c r="F9">
        <f>$A$3/($B$3*($A9^(1.25)) +$D$3*$E$3*F$5)</f>
        <v>823.45191040843224</v>
      </c>
      <c r="G9">
        <f t="shared" ref="G9:G34" si="2">$B$3*($A9^(1.25)) *F9 +$D$3*$E$3*$F$5*F9</f>
        <v>1000</v>
      </c>
      <c r="H9" s="1">
        <f>A9^(-1-$H$3)*F9^(-1*$H$3)*F$5^(-2-$H$3/2)</f>
        <v>0</v>
      </c>
      <c r="I9" s="3">
        <f>H9/G9</f>
        <v>0</v>
      </c>
      <c r="J9" s="3">
        <f>$A$3/($B$3*($A9^(1.25)) +$D$3*$E$3*J$5)</f>
        <v>411.72595520421612</v>
      </c>
      <c r="K9">
        <f>$B$3*($A9^(1.25)) *J9 +$D$3*$E$3*$J$5*J9</f>
        <v>1000</v>
      </c>
      <c r="L9" s="3">
        <f>A9^(-1-$H$3)*J9^(-1*$H$3)*J$5^(-2-$H$3/2)</f>
        <v>0</v>
      </c>
      <c r="M9" s="3">
        <f>L9/K9</f>
        <v>0</v>
      </c>
      <c r="N9" s="3">
        <f>B$3*A9^(1.25)*B9</f>
        <v>0</v>
      </c>
      <c r="O9" s="3">
        <f>$G$3*$E$3*$D$5*J9</f>
        <v>125</v>
      </c>
    </row>
    <row r="10" spans="1:15">
      <c r="A10" s="1">
        <f>A9+2</f>
        <v>2</v>
      </c>
      <c r="B10">
        <f t="shared" si="0"/>
        <v>1478.9092471198044</v>
      </c>
      <c r="C10">
        <f t="shared" ref="C10:C34" si="3">B$3*A10^(1.25) *B10 +D$3*$D$5*E$3*B10</f>
        <v>1000.0000000000001</v>
      </c>
      <c r="D10" s="1">
        <f>+A10^(-1-$H$3)*B10^(-1*$H$3)*D$5^(-2-$H$3/2)</f>
        <v>44.962690963103938</v>
      </c>
      <c r="E10" s="3">
        <f t="shared" ref="E10:E34" si="4">D10/C10</f>
        <v>4.4962690963103936E-2</v>
      </c>
      <c r="F10">
        <f t="shared" ref="F10:F34" si="5">$A$3/($B$3*$A10^(1.25) +$D$3*$E$3*F$5)</f>
        <v>779.19608011963987</v>
      </c>
      <c r="G10">
        <f t="shared" si="2"/>
        <v>1000</v>
      </c>
      <c r="H10" s="1">
        <f t="shared" ref="H10:H34" si="6">A10^(-1-$H$3)*F10^(-1*$H$3)*F$5^(-2-$H$3/2)</f>
        <v>7.2297395585960249</v>
      </c>
      <c r="I10" s="3">
        <f>H10/G10</f>
        <v>7.2297395585960251E-3</v>
      </c>
      <c r="J10" s="3">
        <f t="shared" ref="J10:J34" si="7">$A$3/($B$3*$A10^(1.25) +$D$3*$E$3*J$5)</f>
        <v>400.35647537664352</v>
      </c>
      <c r="K10">
        <f>$B$3*($A10^(1.25)) *J10 +$D$3*$E$3*$J$5*J10</f>
        <v>1000.0000000000001</v>
      </c>
      <c r="L10" s="3">
        <f t="shared" ref="L10:L34" si="8">A10^(-1-$H$3)*J10^(-1*$H$3)*J$5^(-2-$H$3/2)</f>
        <v>1.1195288901381353</v>
      </c>
      <c r="M10" s="3">
        <f>L10/K10</f>
        <v>1.1195288901381351E-3</v>
      </c>
      <c r="N10" s="3">
        <f>B$3*A10^(1.25)*B10</f>
        <v>102.00630514885495</v>
      </c>
      <c r="O10" s="3">
        <f>$D$3*$E$3*$D$5*B10</f>
        <v>897.99369485114516</v>
      </c>
    </row>
    <row r="11" spans="1:15">
      <c r="A11" s="1">
        <f t="shared" ref="A11:A34" si="9">A10+2</f>
        <v>4</v>
      </c>
      <c r="B11">
        <f t="shared" si="0"/>
        <v>1296.5984967537024</v>
      </c>
      <c r="C11">
        <f t="shared" si="3"/>
        <v>999.99999999999977</v>
      </c>
      <c r="D11" s="1">
        <f t="shared" ref="D11:D34" si="10">+A11^(-1-$H$3)*B11^(-1*$H$3)*D$5^(-2-$H$3/2)</f>
        <v>52.199131494930334</v>
      </c>
      <c r="E11" s="3">
        <f t="shared" si="4"/>
        <v>5.2199131494930349E-2</v>
      </c>
      <c r="F11">
        <f t="shared" si="5"/>
        <v>725.45314662144222</v>
      </c>
      <c r="G11">
        <f t="shared" si="2"/>
        <v>1000</v>
      </c>
      <c r="H11" s="1">
        <f t="shared" si="6"/>
        <v>9.1850508524275885</v>
      </c>
      <c r="I11" s="3">
        <f t="shared" ref="I11:I34" si="11">H11/G11</f>
        <v>9.1850508524275887E-3</v>
      </c>
      <c r="J11" s="3">
        <f t="shared" si="7"/>
        <v>385.67617607417571</v>
      </c>
      <c r="K11">
        <f t="shared" ref="K11:K34" si="12">$B$3*($A11^(1.25)) *J11 +$D$3*$E$3*$J$5*J11</f>
        <v>999.99999999999989</v>
      </c>
      <c r="L11" s="3">
        <f t="shared" si="8"/>
        <v>1.4969739266267454</v>
      </c>
      <c r="M11" s="3">
        <f t="shared" ref="M11:M34" si="13">L11/K11</f>
        <v>1.4969739266267456E-3</v>
      </c>
      <c r="N11" s="3">
        <f t="shared" ref="N11:N34" si="14">B$3*A11^(1.25)*B11</f>
        <v>212.70539277115182</v>
      </c>
      <c r="O11" s="3">
        <f t="shared" ref="O11:O34" si="15">$D$3*$E$3*$D$5*B11</f>
        <v>787.29460722884801</v>
      </c>
    </row>
    <row r="12" spans="1:15">
      <c r="A12" s="1">
        <f t="shared" si="9"/>
        <v>6</v>
      </c>
      <c r="B12">
        <f t="shared" si="0"/>
        <v>1136.9777116524849</v>
      </c>
      <c r="C12">
        <f t="shared" si="3"/>
        <v>999.99999999999977</v>
      </c>
      <c r="D12" s="1">
        <f t="shared" si="10"/>
        <v>52.496284040639836</v>
      </c>
      <c r="E12" s="3">
        <f t="shared" si="4"/>
        <v>5.249628404063985E-2</v>
      </c>
      <c r="F12">
        <f t="shared" si="5"/>
        <v>672.6194759599415</v>
      </c>
      <c r="G12">
        <f t="shared" si="2"/>
        <v>999.99999999999989</v>
      </c>
      <c r="H12" s="1">
        <f t="shared" si="6"/>
        <v>10.043088713148805</v>
      </c>
      <c r="I12" s="3">
        <f t="shared" si="11"/>
        <v>1.0043088713148806E-2</v>
      </c>
      <c r="J12" s="3">
        <f t="shared" si="7"/>
        <v>370.21615245353973</v>
      </c>
      <c r="K12">
        <f t="shared" si="12"/>
        <v>1000</v>
      </c>
      <c r="L12" s="3">
        <f t="shared" si="8"/>
        <v>1.7242835754815062</v>
      </c>
      <c r="M12" s="3">
        <f t="shared" si="13"/>
        <v>1.7242835754815063E-3</v>
      </c>
      <c r="N12" s="3">
        <f t="shared" si="14"/>
        <v>309.62713348461108</v>
      </c>
      <c r="O12" s="3">
        <f t="shared" si="15"/>
        <v>690.37286651538875</v>
      </c>
    </row>
    <row r="13" spans="1:15">
      <c r="A13" s="1">
        <f t="shared" si="9"/>
        <v>8</v>
      </c>
      <c r="B13">
        <f t="shared" si="0"/>
        <v>1002.6309671466681</v>
      </c>
      <c r="C13">
        <f t="shared" si="3"/>
        <v>999.99999999999989</v>
      </c>
      <c r="D13" s="1">
        <f t="shared" si="10"/>
        <v>50.197452266422566</v>
      </c>
      <c r="E13" s="3">
        <f t="shared" si="4"/>
        <v>5.0197452266422575E-2</v>
      </c>
      <c r="F13">
        <f t="shared" si="5"/>
        <v>623.21762226504609</v>
      </c>
      <c r="G13">
        <f t="shared" si="2"/>
        <v>1000</v>
      </c>
      <c r="H13" s="1">
        <f t="shared" si="6"/>
        <v>10.342894560763122</v>
      </c>
      <c r="I13" s="3">
        <f t="shared" si="11"/>
        <v>1.0342894560763122E-2</v>
      </c>
      <c r="J13" s="3">
        <f t="shared" si="7"/>
        <v>354.73874997973206</v>
      </c>
      <c r="K13">
        <f t="shared" si="12"/>
        <v>999.99999999999989</v>
      </c>
      <c r="L13" s="3">
        <f t="shared" si="8"/>
        <v>1.867488612094669</v>
      </c>
      <c r="M13" s="3">
        <f t="shared" si="13"/>
        <v>1.8674886120946693E-3</v>
      </c>
      <c r="N13" s="3">
        <f t="shared" si="14"/>
        <v>391.20247674854306</v>
      </c>
      <c r="O13" s="3">
        <f t="shared" si="15"/>
        <v>608.79752325145682</v>
      </c>
    </row>
    <row r="14" spans="1:15">
      <c r="A14" s="1">
        <f t="shared" si="9"/>
        <v>10</v>
      </c>
      <c r="B14">
        <f t="shared" si="0"/>
        <v>890.55043521471623</v>
      </c>
      <c r="C14">
        <f t="shared" si="3"/>
        <v>1000</v>
      </c>
      <c r="D14" s="1">
        <f t="shared" si="10"/>
        <v>46.979976064317597</v>
      </c>
      <c r="E14" s="3">
        <f t="shared" si="4"/>
        <v>4.69799760643176E-2</v>
      </c>
      <c r="F14">
        <f t="shared" si="5"/>
        <v>578.00092785869072</v>
      </c>
      <c r="G14">
        <f t="shared" si="2"/>
        <v>999.99999999999989</v>
      </c>
      <c r="H14" s="1">
        <f t="shared" si="6"/>
        <v>10.328335090292107</v>
      </c>
      <c r="I14" s="3">
        <f t="shared" si="11"/>
        <v>1.0328335090292108E-2</v>
      </c>
      <c r="J14" s="3">
        <f t="shared" si="7"/>
        <v>339.61611498221964</v>
      </c>
      <c r="K14">
        <f t="shared" si="12"/>
        <v>1000</v>
      </c>
      <c r="L14" s="3">
        <f t="shared" si="8"/>
        <v>1.9558360917533286</v>
      </c>
      <c r="M14" s="3">
        <f t="shared" si="13"/>
        <v>1.9558360917533288E-3</v>
      </c>
      <c r="N14" s="3">
        <f t="shared" si="14"/>
        <v>459.2577757376244</v>
      </c>
      <c r="O14" s="3">
        <f t="shared" si="15"/>
        <v>540.74222426237566</v>
      </c>
    </row>
    <row r="15" spans="1:15">
      <c r="A15" s="1">
        <f t="shared" si="9"/>
        <v>12</v>
      </c>
      <c r="B15">
        <f t="shared" si="0"/>
        <v>796.87562157931916</v>
      </c>
      <c r="C15">
        <f t="shared" si="3"/>
        <v>999.99999999999989</v>
      </c>
      <c r="D15" s="1">
        <f t="shared" si="10"/>
        <v>43.561361510667901</v>
      </c>
      <c r="E15" s="3">
        <f t="shared" si="4"/>
        <v>4.3561361510667904E-2</v>
      </c>
      <c r="F15">
        <f t="shared" si="5"/>
        <v>537.02780337982438</v>
      </c>
      <c r="G15">
        <f t="shared" si="2"/>
        <v>1000</v>
      </c>
      <c r="H15" s="1">
        <f t="shared" si="6"/>
        <v>10.132655926328569</v>
      </c>
      <c r="I15" s="3">
        <f t="shared" si="11"/>
        <v>1.0132655926328568E-2</v>
      </c>
      <c r="J15" s="3">
        <f t="shared" si="7"/>
        <v>325.04458989999051</v>
      </c>
      <c r="K15">
        <f t="shared" si="12"/>
        <v>1000.0000000000001</v>
      </c>
      <c r="L15" s="3">
        <f t="shared" si="8"/>
        <v>2.0061114544218603</v>
      </c>
      <c r="M15" s="3">
        <f t="shared" si="13"/>
        <v>2.00611145442186E-3</v>
      </c>
      <c r="N15" s="3">
        <f t="shared" si="14"/>
        <v>516.1371225770373</v>
      </c>
      <c r="O15" s="3">
        <f t="shared" si="15"/>
        <v>483.86287742296258</v>
      </c>
    </row>
    <row r="16" spans="1:15">
      <c r="A16" s="1">
        <f t="shared" si="9"/>
        <v>14</v>
      </c>
      <c r="B16">
        <f t="shared" si="0"/>
        <v>718.11192406318992</v>
      </c>
      <c r="C16">
        <f t="shared" si="3"/>
        <v>1000</v>
      </c>
      <c r="D16" s="1">
        <f t="shared" si="10"/>
        <v>40.251052030099522</v>
      </c>
      <c r="E16" s="3">
        <f t="shared" si="4"/>
        <v>4.0251052030099523E-2</v>
      </c>
      <c r="F16">
        <f t="shared" si="5"/>
        <v>500.06486175583495</v>
      </c>
      <c r="G16">
        <f t="shared" si="2"/>
        <v>1000</v>
      </c>
      <c r="H16" s="1">
        <f t="shared" si="6"/>
        <v>9.8342454254183593</v>
      </c>
      <c r="I16" s="3">
        <f t="shared" si="11"/>
        <v>9.8342454254183587E-3</v>
      </c>
      <c r="J16" s="3">
        <f t="shared" si="7"/>
        <v>311.12515866921194</v>
      </c>
      <c r="K16">
        <f t="shared" si="12"/>
        <v>1000</v>
      </c>
      <c r="L16" s="3">
        <f t="shared" si="8"/>
        <v>2.0291620722159616</v>
      </c>
      <c r="M16" s="3">
        <f t="shared" si="13"/>
        <v>2.0291620722159617E-3</v>
      </c>
      <c r="N16" s="3">
        <f t="shared" si="14"/>
        <v>563.96243970883108</v>
      </c>
      <c r="O16" s="3">
        <f t="shared" si="15"/>
        <v>436.03756029116892</v>
      </c>
    </row>
    <row r="17" spans="1:15">
      <c r="A17" s="1">
        <f t="shared" si="9"/>
        <v>16</v>
      </c>
      <c r="B17">
        <f t="shared" si="0"/>
        <v>651.38092756644085</v>
      </c>
      <c r="C17">
        <f t="shared" si="3"/>
        <v>1000</v>
      </c>
      <c r="D17" s="1">
        <f t="shared" si="10"/>
        <v>37.17385148849116</v>
      </c>
      <c r="E17" s="3">
        <f t="shared" si="4"/>
        <v>3.7173851488491158E-2</v>
      </c>
      <c r="F17">
        <f t="shared" si="5"/>
        <v>466.76624346527262</v>
      </c>
      <c r="G17">
        <f t="shared" si="2"/>
        <v>1000</v>
      </c>
      <c r="H17" s="1">
        <f t="shared" si="6"/>
        <v>9.4808367399149791</v>
      </c>
      <c r="I17" s="3">
        <f t="shared" si="11"/>
        <v>9.4808367399149794E-3</v>
      </c>
      <c r="J17" s="3">
        <f t="shared" si="7"/>
        <v>297.90276453765495</v>
      </c>
      <c r="K17">
        <f t="shared" si="12"/>
        <v>1000</v>
      </c>
      <c r="L17" s="3">
        <f t="shared" si="8"/>
        <v>2.0324590923627621</v>
      </c>
      <c r="M17" s="3">
        <f t="shared" si="13"/>
        <v>2.0324590923627623E-3</v>
      </c>
      <c r="N17" s="3">
        <f t="shared" si="14"/>
        <v>604.48150078165713</v>
      </c>
      <c r="O17" s="3">
        <f t="shared" si="15"/>
        <v>395.51849921834287</v>
      </c>
    </row>
    <row r="18" spans="1:15">
      <c r="A18" s="1">
        <f t="shared" si="9"/>
        <v>18</v>
      </c>
      <c r="B18">
        <f t="shared" si="0"/>
        <v>594.38951606461046</v>
      </c>
      <c r="C18">
        <f t="shared" si="3"/>
        <v>1000</v>
      </c>
      <c r="D18" s="1">
        <f t="shared" si="10"/>
        <v>34.369085333845547</v>
      </c>
      <c r="E18" s="3">
        <f t="shared" si="4"/>
        <v>3.4369085333845549E-2</v>
      </c>
      <c r="F18">
        <f t="shared" si="5"/>
        <v>436.75780807091235</v>
      </c>
      <c r="G18">
        <f t="shared" si="2"/>
        <v>1000</v>
      </c>
      <c r="H18" s="1">
        <f t="shared" si="6"/>
        <v>9.1019571255873757</v>
      </c>
      <c r="I18" s="3">
        <f t="shared" si="11"/>
        <v>9.1019571255873764E-3</v>
      </c>
      <c r="J18" s="3">
        <f t="shared" si="7"/>
        <v>285.38825416754389</v>
      </c>
      <c r="K18">
        <f t="shared" si="12"/>
        <v>1000</v>
      </c>
      <c r="L18" s="3">
        <f t="shared" si="8"/>
        <v>2.0213448686258784</v>
      </c>
      <c r="M18" s="3">
        <f t="shared" si="13"/>
        <v>2.0213448686258783E-3</v>
      </c>
      <c r="N18" s="3">
        <f t="shared" si="14"/>
        <v>639.08668584556858</v>
      </c>
      <c r="O18" s="3">
        <f t="shared" si="15"/>
        <v>360.91331415443148</v>
      </c>
    </row>
    <row r="19" spans="1:15">
      <c r="A19" s="1">
        <f t="shared" si="9"/>
        <v>20</v>
      </c>
      <c r="B19">
        <f t="shared" si="0"/>
        <v>545.33040874326298</v>
      </c>
      <c r="C19">
        <f t="shared" si="3"/>
        <v>1000</v>
      </c>
      <c r="D19" s="1">
        <f t="shared" si="10"/>
        <v>31.836812664333827</v>
      </c>
      <c r="E19" s="3">
        <f t="shared" si="4"/>
        <v>3.183681266433383E-2</v>
      </c>
      <c r="F19">
        <f t="shared" si="5"/>
        <v>409.67644864623225</v>
      </c>
      <c r="G19">
        <f t="shared" si="2"/>
        <v>999.99999999999989</v>
      </c>
      <c r="H19" s="1">
        <f t="shared" si="6"/>
        <v>8.7159355705071526</v>
      </c>
      <c r="I19" s="3">
        <f t="shared" si="11"/>
        <v>8.715935570507153E-3</v>
      </c>
      <c r="J19" s="3">
        <f t="shared" si="7"/>
        <v>273.5715643955337</v>
      </c>
      <c r="K19">
        <f t="shared" si="12"/>
        <v>1000</v>
      </c>
      <c r="L19" s="3">
        <f t="shared" si="8"/>
        <v>1.9997304071689963</v>
      </c>
      <c r="M19" s="3">
        <f t="shared" si="13"/>
        <v>1.9997304071689963E-3</v>
      </c>
      <c r="N19" s="3">
        <f t="shared" si="14"/>
        <v>668.87537581109075</v>
      </c>
      <c r="O19" s="3">
        <f t="shared" si="15"/>
        <v>331.12462418890925</v>
      </c>
    </row>
    <row r="20" spans="1:15">
      <c r="A20" s="1">
        <f t="shared" si="9"/>
        <v>22</v>
      </c>
      <c r="B20">
        <f t="shared" si="0"/>
        <v>502.78036038842839</v>
      </c>
      <c r="C20">
        <f t="shared" si="3"/>
        <v>1000</v>
      </c>
      <c r="D20" s="1">
        <f t="shared" si="10"/>
        <v>29.559957726787161</v>
      </c>
      <c r="E20" s="3">
        <f t="shared" si="4"/>
        <v>2.955995772678716E-2</v>
      </c>
      <c r="F20">
        <f t="shared" si="5"/>
        <v>385.18723066153808</v>
      </c>
      <c r="G20">
        <f t="shared" si="2"/>
        <v>1000</v>
      </c>
      <c r="H20" s="1">
        <f t="shared" si="6"/>
        <v>8.3340610744217614</v>
      </c>
      <c r="I20" s="3">
        <f t="shared" si="11"/>
        <v>8.3340610744217607E-3</v>
      </c>
      <c r="J20" s="3">
        <f t="shared" si="7"/>
        <v>262.42999268779653</v>
      </c>
      <c r="K20">
        <f t="shared" si="12"/>
        <v>1000</v>
      </c>
      <c r="L20" s="3">
        <f t="shared" si="8"/>
        <v>1.9705232552903857</v>
      </c>
      <c r="M20" s="3">
        <f t="shared" si="13"/>
        <v>1.9705232552903857E-3</v>
      </c>
      <c r="N20" s="3">
        <f t="shared" si="14"/>
        <v>694.71176517214633</v>
      </c>
      <c r="O20" s="3">
        <f t="shared" si="15"/>
        <v>305.28823482785373</v>
      </c>
    </row>
    <row r="21" spans="1:15">
      <c r="A21" s="1">
        <f t="shared" si="9"/>
        <v>24</v>
      </c>
      <c r="B21">
        <f t="shared" si="0"/>
        <v>465.61411103024358</v>
      </c>
      <c r="C21">
        <f t="shared" si="3"/>
        <v>1000</v>
      </c>
      <c r="D21" s="1">
        <f t="shared" si="10"/>
        <v>27.51501996234736</v>
      </c>
      <c r="E21" s="3">
        <f t="shared" si="4"/>
        <v>2.751501996234736E-2</v>
      </c>
      <c r="F21">
        <f t="shared" si="5"/>
        <v>362.9894198396106</v>
      </c>
      <c r="G21">
        <f t="shared" si="2"/>
        <v>1000</v>
      </c>
      <c r="H21" s="1">
        <f t="shared" si="6"/>
        <v>7.9631351603539908</v>
      </c>
      <c r="I21" s="3">
        <f t="shared" si="11"/>
        <v>7.9631351603539902E-3</v>
      </c>
      <c r="J21" s="3">
        <f t="shared" si="7"/>
        <v>251.93351209577767</v>
      </c>
      <c r="K21">
        <f t="shared" si="12"/>
        <v>1000.0000000000001</v>
      </c>
      <c r="L21" s="3">
        <f t="shared" si="8"/>
        <v>1.9359072847582619</v>
      </c>
      <c r="M21" s="3">
        <f t="shared" si="13"/>
        <v>1.9359072847582616E-3</v>
      </c>
      <c r="N21" s="3">
        <f t="shared" si="14"/>
        <v>717.27911178243619</v>
      </c>
      <c r="O21" s="3">
        <f t="shared" si="15"/>
        <v>282.72088821756387</v>
      </c>
    </row>
    <row r="22" spans="1:15">
      <c r="A22" s="1">
        <f t="shared" si="9"/>
        <v>26</v>
      </c>
      <c r="B22">
        <f t="shared" si="0"/>
        <v>432.93640753150009</v>
      </c>
      <c r="C22">
        <f t="shared" si="3"/>
        <v>999.99999999999989</v>
      </c>
      <c r="D22" s="1">
        <f t="shared" si="10"/>
        <v>25.677210915554369</v>
      </c>
      <c r="E22" s="3">
        <f t="shared" si="4"/>
        <v>2.5677210915554371E-2</v>
      </c>
      <c r="F22">
        <f t="shared" si="5"/>
        <v>342.8170173920347</v>
      </c>
      <c r="G22">
        <f t="shared" si="2"/>
        <v>1000</v>
      </c>
      <c r="H22" s="1">
        <f t="shared" si="6"/>
        <v>7.6070758813340973</v>
      </c>
      <c r="I22" s="3">
        <f t="shared" si="11"/>
        <v>7.6070758813340973E-3</v>
      </c>
      <c r="J22" s="3">
        <f t="shared" si="7"/>
        <v>242.04822846852724</v>
      </c>
      <c r="K22">
        <f t="shared" si="12"/>
        <v>1000</v>
      </c>
      <c r="L22" s="3">
        <f t="shared" si="8"/>
        <v>1.897533964942788</v>
      </c>
      <c r="M22" s="3">
        <f t="shared" si="13"/>
        <v>1.8975339649427881E-3</v>
      </c>
      <c r="N22" s="3">
        <f t="shared" si="14"/>
        <v>737.12101334687304</v>
      </c>
      <c r="O22" s="3">
        <f t="shared" si="15"/>
        <v>262.87898665312684</v>
      </c>
    </row>
    <row r="23" spans="1:15">
      <c r="A23" s="1">
        <f t="shared" si="9"/>
        <v>28</v>
      </c>
      <c r="B23">
        <f t="shared" si="0"/>
        <v>404.02975616047195</v>
      </c>
      <c r="C23">
        <f t="shared" si="3"/>
        <v>1000</v>
      </c>
      <c r="D23" s="1">
        <f t="shared" si="10"/>
        <v>24.02282367414907</v>
      </c>
      <c r="E23" s="3">
        <f t="shared" si="4"/>
        <v>2.4022823674149069E-2</v>
      </c>
      <c r="F23">
        <f t="shared" si="5"/>
        <v>324.4367134137276</v>
      </c>
      <c r="G23">
        <f t="shared" si="2"/>
        <v>1000</v>
      </c>
      <c r="H23" s="1">
        <f t="shared" si="6"/>
        <v>7.2679431546728566</v>
      </c>
      <c r="I23" s="3">
        <f t="shared" si="11"/>
        <v>7.2679431546728568E-3</v>
      </c>
      <c r="J23" s="3">
        <f t="shared" si="7"/>
        <v>232.73863502332028</v>
      </c>
      <c r="K23">
        <f t="shared" si="12"/>
        <v>1000.0000000000002</v>
      </c>
      <c r="L23" s="3">
        <f t="shared" si="8"/>
        <v>1.8566573523607952</v>
      </c>
      <c r="M23" s="3">
        <f t="shared" si="13"/>
        <v>1.8566573523607949E-3</v>
      </c>
      <c r="N23" s="3">
        <f t="shared" si="14"/>
        <v>754.67313205936148</v>
      </c>
      <c r="O23" s="3">
        <f t="shared" si="15"/>
        <v>245.32686794063855</v>
      </c>
    </row>
    <row r="24" spans="1:15">
      <c r="A24" s="1">
        <f t="shared" si="9"/>
        <v>30</v>
      </c>
      <c r="B24">
        <f t="shared" si="0"/>
        <v>378.3146747951555</v>
      </c>
      <c r="C24">
        <f t="shared" si="3"/>
        <v>1000.0000000000001</v>
      </c>
      <c r="D24" s="1">
        <f t="shared" si="10"/>
        <v>22.530219352375351</v>
      </c>
      <c r="E24" s="3">
        <f t="shared" si="4"/>
        <v>2.2530219352375348E-2</v>
      </c>
      <c r="F24">
        <f t="shared" si="5"/>
        <v>307.6447725226538</v>
      </c>
      <c r="G24">
        <f t="shared" si="2"/>
        <v>1000</v>
      </c>
      <c r="H24" s="1">
        <f t="shared" si="6"/>
        <v>6.9466025849051496</v>
      </c>
      <c r="I24" s="3">
        <f t="shared" si="11"/>
        <v>6.94660258490515E-3</v>
      </c>
      <c r="J24" s="3">
        <f t="shared" si="7"/>
        <v>223.96907309857386</v>
      </c>
      <c r="K24">
        <f t="shared" si="12"/>
        <v>1000</v>
      </c>
      <c r="L24" s="3">
        <f t="shared" si="8"/>
        <v>1.8142316037221125</v>
      </c>
      <c r="M24" s="3">
        <f t="shared" si="13"/>
        <v>1.8142316037221124E-3</v>
      </c>
      <c r="N24" s="3">
        <f t="shared" si="14"/>
        <v>770.28732946438174</v>
      </c>
      <c r="O24" s="3">
        <f t="shared" si="15"/>
        <v>229.7126705356184</v>
      </c>
    </row>
    <row r="25" spans="1:15">
      <c r="A25" s="1">
        <f t="shared" si="9"/>
        <v>32</v>
      </c>
      <c r="B25">
        <f t="shared" si="0"/>
        <v>355.31950901142409</v>
      </c>
      <c r="C25">
        <f t="shared" si="3"/>
        <v>999.99999999999989</v>
      </c>
      <c r="D25" s="1">
        <f t="shared" si="10"/>
        <v>21.180127979714989</v>
      </c>
      <c r="E25" s="3">
        <f t="shared" si="4"/>
        <v>2.118012797971499E-2</v>
      </c>
      <c r="F25">
        <f t="shared" si="5"/>
        <v>292.26362927849397</v>
      </c>
      <c r="G25">
        <f t="shared" si="2"/>
        <v>1000</v>
      </c>
      <c r="H25" s="1">
        <f t="shared" si="6"/>
        <v>6.6431592715159029</v>
      </c>
      <c r="I25" s="3">
        <f t="shared" si="11"/>
        <v>6.6431592715159027E-3</v>
      </c>
      <c r="J25" s="3">
        <f t="shared" si="7"/>
        <v>215.70466244452342</v>
      </c>
      <c r="K25">
        <f t="shared" si="12"/>
        <v>1000</v>
      </c>
      <c r="L25" s="3">
        <f t="shared" si="8"/>
        <v>1.7709826623059539</v>
      </c>
      <c r="M25" s="3">
        <f t="shared" si="13"/>
        <v>1.7709826623059539E-3</v>
      </c>
      <c r="N25" s="3">
        <f t="shared" si="14"/>
        <v>784.24999412826321</v>
      </c>
      <c r="O25" s="3">
        <f t="shared" si="15"/>
        <v>215.7500058717367</v>
      </c>
    </row>
    <row r="26" spans="1:15">
      <c r="A26" s="1">
        <f t="shared" si="9"/>
        <v>34</v>
      </c>
      <c r="B26">
        <f t="shared" si="0"/>
        <v>334.65745092553698</v>
      </c>
      <c r="C26">
        <f t="shared" si="3"/>
        <v>1000</v>
      </c>
      <c r="D26" s="1">
        <f t="shared" si="10"/>
        <v>19.955619634647721</v>
      </c>
      <c r="E26" s="3">
        <f t="shared" si="4"/>
        <v>1.9955619634647721E-2</v>
      </c>
      <c r="F26">
        <f t="shared" si="5"/>
        <v>278.13857812706954</v>
      </c>
      <c r="G26">
        <f t="shared" si="2"/>
        <v>1000</v>
      </c>
      <c r="H26" s="1">
        <f t="shared" si="6"/>
        <v>6.3572431135586154</v>
      </c>
      <c r="I26" s="3">
        <f t="shared" si="11"/>
        <v>6.357243113558615E-3</v>
      </c>
      <c r="J26" s="3">
        <f t="shared" si="7"/>
        <v>207.91187460369869</v>
      </c>
      <c r="K26">
        <f t="shared" si="12"/>
        <v>1000.0000000000001</v>
      </c>
      <c r="L26" s="3">
        <f t="shared" si="8"/>
        <v>1.7274616768122488</v>
      </c>
      <c r="M26" s="3">
        <f t="shared" si="13"/>
        <v>1.7274616768122486E-3</v>
      </c>
      <c r="N26" s="3">
        <f t="shared" si="14"/>
        <v>796.79599579801391</v>
      </c>
      <c r="O26" s="3">
        <f t="shared" si="15"/>
        <v>203.20400420198604</v>
      </c>
    </row>
    <row r="27" spans="1:15">
      <c r="A27" s="1">
        <f t="shared" si="9"/>
        <v>36</v>
      </c>
      <c r="B27">
        <f t="shared" si="0"/>
        <v>316.00895439713827</v>
      </c>
      <c r="C27">
        <f t="shared" si="3"/>
        <v>1000.0000000000001</v>
      </c>
      <c r="D27" s="1">
        <f t="shared" si="10"/>
        <v>18.841928203533548</v>
      </c>
      <c r="E27" s="3">
        <f t="shared" si="4"/>
        <v>1.8841928203533545E-2</v>
      </c>
      <c r="F27">
        <f t="shared" si="5"/>
        <v>265.13473292375392</v>
      </c>
      <c r="G27">
        <f t="shared" si="2"/>
        <v>1000</v>
      </c>
      <c r="H27" s="1">
        <f t="shared" si="6"/>
        <v>6.0881970927355935</v>
      </c>
      <c r="I27" s="3">
        <f t="shared" si="11"/>
        <v>6.0881970927355936E-3</v>
      </c>
      <c r="J27" s="3">
        <f t="shared" si="7"/>
        <v>200.55886564379952</v>
      </c>
      <c r="K27">
        <f t="shared" si="12"/>
        <v>1000</v>
      </c>
      <c r="L27" s="3">
        <f t="shared" si="8"/>
        <v>1.6840852377457445</v>
      </c>
      <c r="M27" s="3">
        <f t="shared" si="13"/>
        <v>1.6840852377457444E-3</v>
      </c>
      <c r="N27" s="3">
        <f t="shared" si="14"/>
        <v>808.1193628900578</v>
      </c>
      <c r="O27" s="3">
        <f t="shared" si="15"/>
        <v>191.88063710994234</v>
      </c>
    </row>
    <row r="28" spans="1:15">
      <c r="A28" s="1">
        <f t="shared" si="9"/>
        <v>38</v>
      </c>
      <c r="B28">
        <f t="shared" si="0"/>
        <v>299.10819485202808</v>
      </c>
      <c r="C28">
        <f t="shared" si="3"/>
        <v>1000</v>
      </c>
      <c r="D28" s="1">
        <f t="shared" si="10"/>
        <v>17.82622061083126</v>
      </c>
      <c r="E28" s="3">
        <f t="shared" si="4"/>
        <v>1.7826220610831261E-2</v>
      </c>
      <c r="F28">
        <f t="shared" si="5"/>
        <v>253.13432032952815</v>
      </c>
      <c r="G28">
        <f t="shared" si="2"/>
        <v>1000</v>
      </c>
      <c r="H28" s="1">
        <f t="shared" si="6"/>
        <v>5.8352015554473589</v>
      </c>
      <c r="I28" s="3">
        <f t="shared" si="11"/>
        <v>5.835201555447359E-3</v>
      </c>
      <c r="J28" s="3">
        <f t="shared" si="7"/>
        <v>193.61564704613522</v>
      </c>
      <c r="K28">
        <f t="shared" si="12"/>
        <v>1000.0000000000001</v>
      </c>
      <c r="L28" s="3">
        <f t="shared" si="8"/>
        <v>1.6411659497799052</v>
      </c>
      <c r="M28" s="3">
        <f t="shared" si="13"/>
        <v>1.6411659497799049E-3</v>
      </c>
      <c r="N28" s="3">
        <f t="shared" si="14"/>
        <v>818.38150408584852</v>
      </c>
      <c r="O28" s="3">
        <f t="shared" si="15"/>
        <v>181.61849591415142</v>
      </c>
    </row>
    <row r="29" spans="1:15">
      <c r="A29" s="1">
        <f t="shared" si="9"/>
        <v>40</v>
      </c>
      <c r="B29">
        <f t="shared" si="0"/>
        <v>283.73257122736464</v>
      </c>
      <c r="C29">
        <f t="shared" si="3"/>
        <v>1000</v>
      </c>
      <c r="D29" s="1">
        <f t="shared" si="10"/>
        <v>16.897357674012028</v>
      </c>
      <c r="E29" s="3">
        <f t="shared" si="4"/>
        <v>1.6897357674012028E-2</v>
      </c>
      <c r="F29">
        <f t="shared" si="5"/>
        <v>242.0343144727353</v>
      </c>
      <c r="G29">
        <f t="shared" si="2"/>
        <v>1000.0000000000001</v>
      </c>
      <c r="H29" s="1">
        <f t="shared" si="6"/>
        <v>5.5973559510369668</v>
      </c>
      <c r="I29" s="3">
        <f t="shared" si="11"/>
        <v>5.5973559510369662E-3</v>
      </c>
      <c r="J29" s="3">
        <f t="shared" si="7"/>
        <v>187.05414859699121</v>
      </c>
      <c r="K29">
        <f t="shared" si="12"/>
        <v>1000</v>
      </c>
      <c r="L29" s="3">
        <f t="shared" si="8"/>
        <v>1.598935829201491</v>
      </c>
      <c r="M29" s="3">
        <f t="shared" si="13"/>
        <v>1.598935829201491E-3</v>
      </c>
      <c r="N29" s="3">
        <f t="shared" si="14"/>
        <v>827.71758275074421</v>
      </c>
      <c r="O29" s="3">
        <f t="shared" si="15"/>
        <v>172.28241724925581</v>
      </c>
    </row>
    <row r="30" spans="1:15">
      <c r="A30" s="1">
        <f t="shared" si="9"/>
        <v>42</v>
      </c>
      <c r="B30">
        <f t="shared" si="0"/>
        <v>269.69450805613326</v>
      </c>
      <c r="C30">
        <f t="shared" si="3"/>
        <v>1000</v>
      </c>
      <c r="D30" s="1">
        <f t="shared" si="10"/>
        <v>16.04566830203942</v>
      </c>
      <c r="E30" s="3">
        <f t="shared" si="4"/>
        <v>1.604566830203942E-2</v>
      </c>
      <c r="F30">
        <f t="shared" si="5"/>
        <v>231.74439269815443</v>
      </c>
      <c r="G30">
        <f t="shared" si="2"/>
        <v>1000</v>
      </c>
      <c r="H30" s="1">
        <f t="shared" si="6"/>
        <v>5.3737321255533121</v>
      </c>
      <c r="I30" s="3">
        <f t="shared" si="11"/>
        <v>5.3737321255533125E-3</v>
      </c>
      <c r="J30" s="3">
        <f t="shared" si="7"/>
        <v>180.84821026373626</v>
      </c>
      <c r="K30">
        <f t="shared" si="12"/>
        <v>999.99999999999977</v>
      </c>
      <c r="L30" s="3">
        <f t="shared" si="8"/>
        <v>1.5575643188054831</v>
      </c>
      <c r="M30" s="3">
        <f t="shared" si="13"/>
        <v>1.5575643188054835E-3</v>
      </c>
      <c r="N30" s="3">
        <f t="shared" si="14"/>
        <v>836.24149470831594</v>
      </c>
      <c r="O30" s="3">
        <f t="shared" si="15"/>
        <v>163.75850529168412</v>
      </c>
    </row>
    <row r="31" spans="1:15">
      <c r="A31" s="1">
        <f t="shared" si="9"/>
        <v>44</v>
      </c>
      <c r="B31">
        <f t="shared" si="0"/>
        <v>256.83500750315039</v>
      </c>
      <c r="C31">
        <f t="shared" si="3"/>
        <v>1000.0000000000001</v>
      </c>
      <c r="D31" s="1">
        <f t="shared" si="10"/>
        <v>15.262746041170558</v>
      </c>
      <c r="E31" s="3">
        <f t="shared" si="4"/>
        <v>1.5262746041170557E-2</v>
      </c>
      <c r="F31">
        <f t="shared" si="5"/>
        <v>222.18518049019059</v>
      </c>
      <c r="G31">
        <f t="shared" si="2"/>
        <v>1000</v>
      </c>
      <c r="H31" s="1">
        <f t="shared" si="6"/>
        <v>5.1634085243555603</v>
      </c>
      <c r="I31" s="3">
        <f t="shared" si="11"/>
        <v>5.1634085243555602E-3</v>
      </c>
      <c r="J31" s="3">
        <f t="shared" si="7"/>
        <v>174.97352851346784</v>
      </c>
      <c r="K31">
        <f t="shared" si="12"/>
        <v>1000</v>
      </c>
      <c r="L31" s="3">
        <f t="shared" si="8"/>
        <v>1.5171722295896111</v>
      </c>
      <c r="M31" s="3">
        <f t="shared" si="13"/>
        <v>1.517172229589611E-3</v>
      </c>
      <c r="N31" s="3">
        <f t="shared" si="14"/>
        <v>844.04978344408721</v>
      </c>
      <c r="O31" s="3">
        <f t="shared" si="15"/>
        <v>155.9502165559129</v>
      </c>
    </row>
    <row r="32" spans="1:15">
      <c r="A32" s="1">
        <f t="shared" si="9"/>
        <v>46</v>
      </c>
      <c r="B32">
        <f t="shared" si="0"/>
        <v>245.01854171001946</v>
      </c>
      <c r="C32">
        <f t="shared" si="3"/>
        <v>1000</v>
      </c>
      <c r="D32" s="1">
        <f t="shared" si="10"/>
        <v>14.541270479997877</v>
      </c>
      <c r="E32" s="3">
        <f t="shared" si="4"/>
        <v>1.4541270479997877E-2</v>
      </c>
      <c r="F32">
        <f t="shared" si="5"/>
        <v>213.28675029468783</v>
      </c>
      <c r="G32">
        <f t="shared" si="2"/>
        <v>1000.0000000000002</v>
      </c>
      <c r="H32" s="1">
        <f t="shared" si="6"/>
        <v>4.9654915590093891</v>
      </c>
      <c r="I32" s="3">
        <f t="shared" si="11"/>
        <v>4.9654915590093881E-3</v>
      </c>
      <c r="J32" s="3">
        <f t="shared" si="7"/>
        <v>169.40757459151089</v>
      </c>
      <c r="K32">
        <f t="shared" si="12"/>
        <v>999.99999999999989</v>
      </c>
      <c r="L32" s="3">
        <f t="shared" si="8"/>
        <v>1.4778425771665122</v>
      </c>
      <c r="M32" s="3">
        <f t="shared" si="13"/>
        <v>1.4778425771665123E-3</v>
      </c>
      <c r="N32" s="3">
        <f t="shared" si="14"/>
        <v>851.2247414736762</v>
      </c>
      <c r="O32" s="3">
        <f t="shared" si="15"/>
        <v>148.7752585263238</v>
      </c>
    </row>
    <row r="33" spans="1:15">
      <c r="A33" s="1">
        <f t="shared" si="9"/>
        <v>48</v>
      </c>
      <c r="B33">
        <f t="shared" si="0"/>
        <v>234.12897880226782</v>
      </c>
      <c r="C33">
        <f t="shared" si="3"/>
        <v>1000</v>
      </c>
      <c r="D33" s="1">
        <f t="shared" si="10"/>
        <v>13.874852847965446</v>
      </c>
      <c r="E33" s="3">
        <f t="shared" si="4"/>
        <v>1.3874852847965446E-2</v>
      </c>
      <c r="F33">
        <f t="shared" si="5"/>
        <v>204.98733984408918</v>
      </c>
      <c r="G33">
        <f t="shared" si="2"/>
        <v>1000</v>
      </c>
      <c r="H33" s="1">
        <f t="shared" si="6"/>
        <v>4.7791283505280919</v>
      </c>
      <c r="I33" s="3">
        <f t="shared" si="11"/>
        <v>4.7791283505280923E-3</v>
      </c>
      <c r="J33" s="3">
        <f t="shared" si="7"/>
        <v>164.12949677164843</v>
      </c>
      <c r="K33">
        <f t="shared" si="12"/>
        <v>999.99999999999977</v>
      </c>
      <c r="L33" s="3">
        <f t="shared" si="8"/>
        <v>1.4396290355885704</v>
      </c>
      <c r="M33" s="3">
        <f t="shared" si="13"/>
        <v>1.4396290355885707E-3</v>
      </c>
      <c r="N33" s="3">
        <f t="shared" si="14"/>
        <v>857.83688407126294</v>
      </c>
      <c r="O33" s="3">
        <f t="shared" si="15"/>
        <v>142.163115928737</v>
      </c>
    </row>
    <row r="34" spans="1:15">
      <c r="A34" s="1">
        <f t="shared" si="9"/>
        <v>50</v>
      </c>
      <c r="B34">
        <f t="shared" si="0"/>
        <v>224.06631160397029</v>
      </c>
      <c r="C34">
        <f t="shared" si="3"/>
        <v>999.99999999999989</v>
      </c>
      <c r="D34" s="1">
        <f t="shared" si="10"/>
        <v>13.257903720724361</v>
      </c>
      <c r="E34" s="3">
        <f t="shared" si="4"/>
        <v>1.3257903720724362E-2</v>
      </c>
      <c r="F34">
        <f t="shared" si="5"/>
        <v>197.23225844308595</v>
      </c>
      <c r="G34">
        <f t="shared" si="2"/>
        <v>1000</v>
      </c>
      <c r="H34" s="1">
        <f t="shared" si="6"/>
        <v>4.6035137005974773</v>
      </c>
      <c r="I34" s="3">
        <f t="shared" si="11"/>
        <v>4.6035137005974777E-3</v>
      </c>
      <c r="J34" s="3">
        <f t="shared" si="7"/>
        <v>159.12001475625433</v>
      </c>
      <c r="K34">
        <f t="shared" si="12"/>
        <v>1000</v>
      </c>
      <c r="L34" s="3">
        <f t="shared" si="8"/>
        <v>1.4025625528080292</v>
      </c>
      <c r="M34" s="3">
        <f t="shared" si="13"/>
        <v>1.4025625528080292E-3</v>
      </c>
      <c r="N34" s="3">
        <f t="shared" si="14"/>
        <v>863.94693559406915</v>
      </c>
      <c r="O34" s="3">
        <f t="shared" si="15"/>
        <v>136.05306440593074</v>
      </c>
    </row>
    <row r="35" spans="1:15">
      <c r="A35" s="1"/>
      <c r="C35" s="1"/>
      <c r="D35" s="1"/>
      <c r="E35" s="3"/>
      <c r="F35" s="1"/>
      <c r="G35" s="1"/>
      <c r="H35" s="1"/>
      <c r="I35" s="3"/>
      <c r="J35" s="3"/>
      <c r="L35" s="3"/>
      <c r="M35" s="3"/>
      <c r="N35" s="3"/>
      <c r="O35" s="3"/>
    </row>
    <row r="36" spans="1:15">
      <c r="A36" s="1"/>
      <c r="B36" s="1"/>
      <c r="C36" s="1"/>
      <c r="D36" s="1"/>
      <c r="E36" s="3"/>
      <c r="F36" s="1"/>
      <c r="G36" s="1"/>
      <c r="H36" s="1"/>
      <c r="I36" s="3"/>
      <c r="J36" s="3"/>
      <c r="L36" s="3"/>
      <c r="M36" s="3"/>
      <c r="N36" s="3"/>
      <c r="O36" s="3"/>
    </row>
    <row r="37" spans="1:15">
      <c r="A37" s="1" t="s">
        <v>28</v>
      </c>
      <c r="B37" s="1" t="s">
        <v>11</v>
      </c>
      <c r="C37" s="1">
        <v>400</v>
      </c>
      <c r="D37" s="1"/>
      <c r="E37" s="3"/>
      <c r="F37" s="1"/>
      <c r="G37" s="1"/>
      <c r="H37" s="1"/>
      <c r="I37" s="3"/>
      <c r="J37" s="3"/>
      <c r="L37" s="3"/>
      <c r="M37" s="3"/>
      <c r="N37" s="3"/>
      <c r="O37" s="3"/>
    </row>
    <row r="38" spans="1:15">
      <c r="A38" s="1" t="s">
        <v>9</v>
      </c>
      <c r="B38" s="1" t="s">
        <v>13</v>
      </c>
      <c r="C38" s="1" t="s">
        <v>24</v>
      </c>
      <c r="D38" s="1" t="s">
        <v>25</v>
      </c>
      <c r="E38" s="3" t="s">
        <v>23</v>
      </c>
      <c r="F38" s="1" t="s">
        <v>26</v>
      </c>
      <c r="G38" s="1" t="s">
        <v>27</v>
      </c>
      <c r="I38" s="3" t="s">
        <v>29</v>
      </c>
      <c r="J38" s="3"/>
      <c r="L38" s="3"/>
      <c r="M38" s="3"/>
      <c r="N38" s="3"/>
      <c r="O38" s="3"/>
    </row>
    <row r="39" spans="1:15">
      <c r="A39" s="1">
        <v>0</v>
      </c>
      <c r="B39" s="1">
        <v>0</v>
      </c>
      <c r="C39" s="1">
        <v>0</v>
      </c>
      <c r="D39" s="1"/>
      <c r="E39" s="3">
        <f>$A$3/($C$3*B39 + $D$3 *$E$3*C$37)</f>
        <v>1646.9038208168645</v>
      </c>
      <c r="F39">
        <f>$C$3*B39*E39 +$D$3*E39*$E$3*C$37</f>
        <v>1000.0000000000002</v>
      </c>
      <c r="G39" s="1">
        <f>C39^(-1-$H$3)*E39^(-1*$H$3)*$C$37^(-2-$H$3/2)</f>
        <v>0</v>
      </c>
      <c r="I39" s="3"/>
      <c r="J39" s="3"/>
      <c r="L39" s="3"/>
      <c r="M39" s="3"/>
      <c r="N39" s="3"/>
      <c r="O39" s="3"/>
    </row>
    <row r="40" spans="1:15">
      <c r="A40" s="1">
        <v>1</v>
      </c>
      <c r="B40" s="1">
        <f>A40^2</f>
        <v>1</v>
      </c>
      <c r="C40" s="1">
        <f>0.18*B40</f>
        <v>0.18</v>
      </c>
      <c r="D40" s="1">
        <f>G40/F40</f>
        <v>1.3548092124816561E-2</v>
      </c>
      <c r="E40" s="3">
        <f>$A$3/($C$3*B40 + $D$3 *$E$3*C$37)</f>
        <v>1483.2393948383271</v>
      </c>
      <c r="F40">
        <f>$C$3*B40*E40 +$D$3*E40*$E$3*C$37</f>
        <v>1000.0000000000002</v>
      </c>
      <c r="G40" s="1">
        <f t="shared" ref="G40:G62" si="16">C40^(-1-$H$3)*E40^(-1*$H$3)*$C$37^(-2-$H$3/2)</f>
        <v>13.548092124816565</v>
      </c>
      <c r="I40" s="3">
        <f>E40*B40</f>
        <v>1483.2393948383271</v>
      </c>
      <c r="J40" s="3"/>
      <c r="L40" s="3"/>
      <c r="M40" s="3"/>
      <c r="N40" s="3"/>
      <c r="O40" s="3"/>
    </row>
    <row r="41" spans="1:15">
      <c r="A41" s="1">
        <f>A40+1</f>
        <v>2</v>
      </c>
      <c r="B41" s="1">
        <f t="shared" ref="B41:B62" si="17">A41^2</f>
        <v>4</v>
      </c>
      <c r="C41" s="1">
        <f t="shared" ref="C41:C62" si="18">0.18*B41</f>
        <v>0.72</v>
      </c>
      <c r="D41" s="1">
        <f t="shared" ref="D41:D62" si="19">G41/F41</f>
        <v>1.8320203588137556E-2</v>
      </c>
      <c r="E41" s="3">
        <f t="shared" ref="E41:E62" si="20">$A$3/($C$3*B41 + $D$3 *0.66*400)</f>
        <v>1142.5959780621572</v>
      </c>
      <c r="F41">
        <f t="shared" ref="F41:F62" si="21">$C$3*B41*E41 +$D$3*E41*0.66*400</f>
        <v>1000</v>
      </c>
      <c r="G41" s="1">
        <f t="shared" si="16"/>
        <v>18.320203588137556</v>
      </c>
      <c r="I41" s="3">
        <f t="shared" ref="I41:I113" si="22">E41*B41</f>
        <v>4570.3839122486288</v>
      </c>
      <c r="J41" s="3"/>
      <c r="L41" s="3"/>
      <c r="M41" s="3"/>
      <c r="N41" s="3"/>
      <c r="O41" s="3"/>
    </row>
    <row r="42" spans="1:15">
      <c r="A42" s="1">
        <f t="shared" ref="A42:A62" si="23">A41+1</f>
        <v>3</v>
      </c>
      <c r="B42" s="1">
        <f t="shared" si="17"/>
        <v>9</v>
      </c>
      <c r="C42" s="1">
        <f t="shared" si="18"/>
        <v>1.6199999999999999</v>
      </c>
      <c r="D42" s="1">
        <f t="shared" si="19"/>
        <v>1.6900392667142206E-2</v>
      </c>
      <c r="E42" s="3">
        <f t="shared" si="20"/>
        <v>826.30970087588832</v>
      </c>
      <c r="F42">
        <f t="shared" si="21"/>
        <v>1000</v>
      </c>
      <c r="G42" s="1">
        <f t="shared" si="16"/>
        <v>16.900392667142206</v>
      </c>
      <c r="I42" s="3">
        <f t="shared" si="22"/>
        <v>7436.7873078829953</v>
      </c>
      <c r="J42" s="3"/>
      <c r="L42" s="3"/>
      <c r="M42" s="3"/>
      <c r="N42" s="3"/>
      <c r="O42" s="3"/>
    </row>
    <row r="43" spans="1:15">
      <c r="A43" s="1">
        <f t="shared" si="23"/>
        <v>4</v>
      </c>
      <c r="B43" s="1">
        <f t="shared" si="17"/>
        <v>16</v>
      </c>
      <c r="C43" s="1">
        <f t="shared" si="18"/>
        <v>2.88</v>
      </c>
      <c r="D43" s="1">
        <f t="shared" si="19"/>
        <v>1.3786931453774022E-2</v>
      </c>
      <c r="E43" s="3">
        <f t="shared" si="20"/>
        <v>595.52167698904236</v>
      </c>
      <c r="F43">
        <f t="shared" si="21"/>
        <v>1000</v>
      </c>
      <c r="G43" s="1">
        <f t="shared" si="16"/>
        <v>13.786931453774022</v>
      </c>
      <c r="I43" s="3">
        <f t="shared" si="22"/>
        <v>9528.3468318246778</v>
      </c>
      <c r="J43" s="3"/>
      <c r="L43" s="3"/>
      <c r="M43" s="3"/>
      <c r="N43" s="3"/>
      <c r="O43" s="3"/>
    </row>
    <row r="44" spans="1:15">
      <c r="A44" s="1">
        <f t="shared" si="23"/>
        <v>5</v>
      </c>
      <c r="B44" s="1">
        <f t="shared" si="17"/>
        <v>25</v>
      </c>
      <c r="C44" s="1">
        <f t="shared" si="18"/>
        <v>4.5</v>
      </c>
      <c r="D44" s="1">
        <f t="shared" si="19"/>
        <v>1.0876789312777451E-2</v>
      </c>
      <c r="E44" s="3">
        <f t="shared" si="20"/>
        <v>438.1736920515292</v>
      </c>
      <c r="F44">
        <f t="shared" si="21"/>
        <v>1000</v>
      </c>
      <c r="G44" s="1">
        <f t="shared" si="16"/>
        <v>10.876789312777451</v>
      </c>
      <c r="I44" s="3">
        <f t="shared" si="22"/>
        <v>10954.34230128823</v>
      </c>
      <c r="J44" s="3"/>
      <c r="L44" s="3"/>
      <c r="M44" s="3"/>
      <c r="N44" s="3"/>
      <c r="O44" s="3"/>
    </row>
    <row r="45" spans="1:15">
      <c r="A45" s="1">
        <f t="shared" si="23"/>
        <v>6</v>
      </c>
      <c r="B45" s="1">
        <f t="shared" si="17"/>
        <v>36</v>
      </c>
      <c r="C45" s="1">
        <f t="shared" si="18"/>
        <v>6.4799999999999995</v>
      </c>
      <c r="D45" s="1">
        <f t="shared" si="19"/>
        <v>8.5777757759613014E-3</v>
      </c>
      <c r="E45" s="3">
        <f t="shared" si="20"/>
        <v>331.21356650768422</v>
      </c>
      <c r="F45">
        <f t="shared" si="21"/>
        <v>1000.0000000000002</v>
      </c>
      <c r="G45" s="1">
        <f t="shared" si="16"/>
        <v>8.5777757759613031</v>
      </c>
      <c r="I45" s="3">
        <f t="shared" si="22"/>
        <v>11923.688394276633</v>
      </c>
      <c r="J45" s="3"/>
      <c r="L45" s="3"/>
      <c r="M45" s="3"/>
      <c r="N45" s="3"/>
      <c r="O45" s="3"/>
    </row>
    <row r="46" spans="1:15">
      <c r="A46" s="1">
        <f t="shared" si="23"/>
        <v>7</v>
      </c>
      <c r="B46" s="1">
        <f t="shared" si="17"/>
        <v>49</v>
      </c>
      <c r="C46" s="1">
        <f t="shared" si="18"/>
        <v>8.82</v>
      </c>
      <c r="D46" s="1">
        <f t="shared" si="19"/>
        <v>6.8422889284102143E-3</v>
      </c>
      <c r="E46" s="3">
        <f t="shared" si="20"/>
        <v>257.05619248367691</v>
      </c>
      <c r="F46">
        <f t="shared" si="21"/>
        <v>1000</v>
      </c>
      <c r="G46" s="1">
        <f t="shared" si="16"/>
        <v>6.8422889284102144</v>
      </c>
      <c r="I46" s="3">
        <f t="shared" si="22"/>
        <v>12595.753431700168</v>
      </c>
      <c r="J46" s="3"/>
      <c r="L46" s="3"/>
      <c r="M46" s="3"/>
      <c r="N46" s="3"/>
      <c r="O46" s="3"/>
    </row>
    <row r="47" spans="1:15">
      <c r="A47" s="1">
        <f t="shared" si="23"/>
        <v>8</v>
      </c>
      <c r="B47" s="1">
        <f t="shared" si="17"/>
        <v>64</v>
      </c>
      <c r="C47" s="1">
        <f t="shared" si="18"/>
        <v>11.52</v>
      </c>
      <c r="D47" s="1">
        <f t="shared" si="19"/>
        <v>5.5398191868441709E-3</v>
      </c>
      <c r="E47" s="3">
        <f t="shared" si="20"/>
        <v>204.28174538323256</v>
      </c>
      <c r="F47">
        <f t="shared" si="21"/>
        <v>1000</v>
      </c>
      <c r="G47" s="1">
        <f t="shared" si="16"/>
        <v>5.5398191868441709</v>
      </c>
      <c r="I47" s="3">
        <f t="shared" si="22"/>
        <v>13074.031704526884</v>
      </c>
      <c r="J47" s="3"/>
      <c r="L47" s="3"/>
      <c r="M47" s="3"/>
      <c r="N47" s="3"/>
      <c r="O47" s="3"/>
    </row>
    <row r="48" spans="1:15">
      <c r="A48" s="1">
        <f t="shared" si="23"/>
        <v>9</v>
      </c>
      <c r="B48" s="1">
        <f t="shared" si="17"/>
        <v>81</v>
      </c>
      <c r="C48" s="1">
        <f t="shared" si="18"/>
        <v>14.58</v>
      </c>
      <c r="D48" s="1">
        <f t="shared" si="19"/>
        <v>4.5538028237759563E-3</v>
      </c>
      <c r="E48" s="3">
        <f t="shared" si="20"/>
        <v>165.72205097610288</v>
      </c>
      <c r="F48">
        <f t="shared" si="21"/>
        <v>1000.0000000000001</v>
      </c>
      <c r="G48" s="1">
        <f t="shared" si="16"/>
        <v>4.5538028237759569</v>
      </c>
      <c r="I48" s="3">
        <f t="shared" si="22"/>
        <v>13423.486129064333</v>
      </c>
      <c r="J48" s="3"/>
      <c r="L48" s="3"/>
      <c r="M48" s="3"/>
      <c r="N48" s="3"/>
      <c r="O48" s="3"/>
    </row>
    <row r="49" spans="1:15">
      <c r="A49" s="1">
        <f t="shared" si="23"/>
        <v>10</v>
      </c>
      <c r="B49" s="1">
        <f t="shared" si="17"/>
        <v>100</v>
      </c>
      <c r="C49" s="1">
        <f t="shared" si="18"/>
        <v>18</v>
      </c>
      <c r="D49" s="1">
        <f t="shared" si="19"/>
        <v>3.7969490716124525E-3</v>
      </c>
      <c r="E49" s="3">
        <f t="shared" si="20"/>
        <v>136.8513247208233</v>
      </c>
      <c r="F49">
        <f t="shared" si="21"/>
        <v>1000.0000000000001</v>
      </c>
      <c r="G49" s="1">
        <f t="shared" si="16"/>
        <v>3.796949071612453</v>
      </c>
      <c r="I49" s="3">
        <f t="shared" si="22"/>
        <v>13685.13247208233</v>
      </c>
      <c r="J49" s="3"/>
      <c r="L49" s="3"/>
      <c r="M49" s="3"/>
      <c r="N49" s="3"/>
      <c r="O49" s="3"/>
    </row>
    <row r="50" spans="1:15">
      <c r="A50" s="1">
        <f t="shared" si="23"/>
        <v>11</v>
      </c>
      <c r="B50" s="1">
        <f t="shared" si="17"/>
        <v>121</v>
      </c>
      <c r="C50" s="1">
        <f t="shared" si="18"/>
        <v>21.779999999999998</v>
      </c>
      <c r="D50" s="1">
        <f t="shared" si="19"/>
        <v>3.2071011956707638E-3</v>
      </c>
      <c r="E50" s="3">
        <f t="shared" si="20"/>
        <v>114.75522710059441</v>
      </c>
      <c r="F50">
        <f t="shared" si="21"/>
        <v>999.99999999999989</v>
      </c>
      <c r="G50" s="1">
        <f t="shared" si="16"/>
        <v>3.2071011956707633</v>
      </c>
      <c r="I50" s="3">
        <f t="shared" si="22"/>
        <v>13885.382479171923</v>
      </c>
      <c r="J50" s="3"/>
      <c r="L50" s="3"/>
      <c r="M50" s="3"/>
      <c r="N50" s="3"/>
      <c r="O50" s="3"/>
    </row>
    <row r="51" spans="1:15">
      <c r="A51" s="1">
        <f t="shared" si="23"/>
        <v>12</v>
      </c>
      <c r="B51" s="1">
        <f t="shared" si="17"/>
        <v>144</v>
      </c>
      <c r="C51" s="1">
        <f t="shared" si="18"/>
        <v>25.919999999999998</v>
      </c>
      <c r="D51" s="1">
        <f t="shared" si="19"/>
        <v>2.7404779220798199E-3</v>
      </c>
      <c r="E51" s="3">
        <f t="shared" si="20"/>
        <v>97.511506357750207</v>
      </c>
      <c r="F51">
        <f t="shared" si="21"/>
        <v>999.99999999999989</v>
      </c>
      <c r="G51" s="1">
        <f t="shared" si="16"/>
        <v>2.7404779220798194</v>
      </c>
      <c r="I51" s="3">
        <f t="shared" si="22"/>
        <v>14041.65691551603</v>
      </c>
      <c r="J51" s="3"/>
      <c r="L51" s="3"/>
      <c r="M51" s="3"/>
      <c r="N51" s="3"/>
      <c r="O51" s="3"/>
    </row>
    <row r="52" spans="1:15">
      <c r="A52" s="1">
        <f t="shared" si="23"/>
        <v>13</v>
      </c>
      <c r="B52" s="1">
        <f t="shared" si="17"/>
        <v>169</v>
      </c>
      <c r="C52" s="1">
        <f t="shared" si="18"/>
        <v>30.419999999999998</v>
      </c>
      <c r="D52" s="1">
        <f t="shared" si="19"/>
        <v>2.3660996386277288E-3</v>
      </c>
      <c r="E52" s="3">
        <f t="shared" si="20"/>
        <v>83.820891519002188</v>
      </c>
      <c r="F52">
        <f t="shared" si="21"/>
        <v>999.99999999999989</v>
      </c>
      <c r="G52" s="1">
        <f t="shared" si="16"/>
        <v>2.3660996386277287</v>
      </c>
      <c r="I52" s="3">
        <f t="shared" si="22"/>
        <v>14165.73066671137</v>
      </c>
      <c r="J52" s="3"/>
      <c r="L52" s="3"/>
      <c r="M52" s="3"/>
      <c r="N52" s="3"/>
      <c r="O52" s="3"/>
    </row>
    <row r="53" spans="1:15">
      <c r="A53" s="1">
        <f t="shared" si="23"/>
        <v>14</v>
      </c>
      <c r="B53" s="1">
        <f t="shared" si="17"/>
        <v>196</v>
      </c>
      <c r="C53" s="1">
        <f t="shared" si="18"/>
        <v>35.28</v>
      </c>
      <c r="D53" s="1">
        <f t="shared" si="19"/>
        <v>2.0618028268807689E-3</v>
      </c>
      <c r="E53" s="3">
        <f t="shared" si="20"/>
        <v>72.784441597764058</v>
      </c>
      <c r="F53">
        <f t="shared" si="21"/>
        <v>1000</v>
      </c>
      <c r="G53" s="1">
        <f t="shared" si="16"/>
        <v>2.0618028268807689</v>
      </c>
      <c r="I53" s="3">
        <f t="shared" si="22"/>
        <v>14265.750553161755</v>
      </c>
      <c r="J53" s="3"/>
      <c r="L53" s="3"/>
      <c r="M53" s="3"/>
      <c r="N53" s="3"/>
      <c r="O53" s="3"/>
    </row>
    <row r="54" spans="1:15">
      <c r="A54" s="1">
        <f t="shared" si="23"/>
        <v>15</v>
      </c>
      <c r="B54" s="1">
        <f t="shared" si="17"/>
        <v>225</v>
      </c>
      <c r="C54" s="1">
        <f t="shared" si="18"/>
        <v>40.5</v>
      </c>
      <c r="D54" s="1">
        <f t="shared" si="19"/>
        <v>1.8115154403632087E-3</v>
      </c>
      <c r="E54" s="3">
        <f t="shared" si="20"/>
        <v>63.766563364834006</v>
      </c>
      <c r="F54">
        <f t="shared" si="21"/>
        <v>999.99999999999989</v>
      </c>
      <c r="G54" s="1">
        <f t="shared" si="16"/>
        <v>1.8115154403632086</v>
      </c>
      <c r="I54" s="3">
        <f t="shared" si="22"/>
        <v>14347.476757087652</v>
      </c>
      <c r="J54" s="3"/>
      <c r="L54" s="3"/>
      <c r="M54" s="3"/>
      <c r="N54" s="3"/>
      <c r="O54" s="3"/>
    </row>
    <row r="55" spans="1:15">
      <c r="A55" s="1">
        <f t="shared" si="23"/>
        <v>16</v>
      </c>
      <c r="B55" s="1">
        <f t="shared" si="17"/>
        <v>256</v>
      </c>
      <c r="C55" s="1">
        <f t="shared" si="18"/>
        <v>46.08</v>
      </c>
      <c r="D55" s="1">
        <f t="shared" si="19"/>
        <v>1.6034157629404595E-3</v>
      </c>
      <c r="E55" s="3">
        <f t="shared" si="20"/>
        <v>56.308842740663991</v>
      </c>
      <c r="F55">
        <f t="shared" si="21"/>
        <v>1000</v>
      </c>
      <c r="G55" s="1">
        <f t="shared" si="16"/>
        <v>1.6034157629404595</v>
      </c>
      <c r="I55" s="3">
        <f t="shared" si="22"/>
        <v>14415.063741609982</v>
      </c>
      <c r="J55" s="3"/>
      <c r="L55" s="3"/>
      <c r="M55" s="3"/>
      <c r="N55" s="3"/>
      <c r="O55" s="3"/>
    </row>
    <row r="56" spans="1:15">
      <c r="A56" s="1">
        <f t="shared" si="23"/>
        <v>17</v>
      </c>
      <c r="B56" s="1">
        <f t="shared" si="17"/>
        <v>289</v>
      </c>
      <c r="C56" s="1">
        <f t="shared" si="18"/>
        <v>52.019999999999996</v>
      </c>
      <c r="D56" s="1">
        <f t="shared" si="19"/>
        <v>1.4286852574769847E-3</v>
      </c>
      <c r="E56" s="3">
        <f t="shared" si="20"/>
        <v>50.07461117064426</v>
      </c>
      <c r="F56">
        <f t="shared" si="21"/>
        <v>999.99999999999989</v>
      </c>
      <c r="G56" s="1">
        <f t="shared" si="16"/>
        <v>1.4286852574769846</v>
      </c>
      <c r="I56" s="3">
        <f t="shared" si="22"/>
        <v>14471.562628316191</v>
      </c>
      <c r="J56" s="3"/>
      <c r="L56" s="3"/>
      <c r="M56" s="3"/>
      <c r="N56" s="3"/>
      <c r="O56" s="3"/>
    </row>
    <row r="57" spans="1:15">
      <c r="A57" s="1">
        <f t="shared" si="23"/>
        <v>18</v>
      </c>
      <c r="B57" s="1">
        <f t="shared" si="17"/>
        <v>324</v>
      </c>
      <c r="C57" s="1">
        <f t="shared" si="18"/>
        <v>58.32</v>
      </c>
      <c r="D57" s="1">
        <f t="shared" si="19"/>
        <v>1.2806563084546624E-3</v>
      </c>
      <c r="E57" s="3">
        <f t="shared" si="20"/>
        <v>44.81250448125045</v>
      </c>
      <c r="F57">
        <f t="shared" si="21"/>
        <v>1000.0000000000001</v>
      </c>
      <c r="G57" s="1">
        <f t="shared" si="16"/>
        <v>1.2806563084546625</v>
      </c>
      <c r="I57" s="3">
        <f t="shared" si="22"/>
        <v>14519.251451925145</v>
      </c>
      <c r="J57" s="3"/>
      <c r="L57" s="3"/>
      <c r="M57" s="3"/>
      <c r="N57" s="3"/>
      <c r="O57" s="3"/>
    </row>
    <row r="58" spans="1:15">
      <c r="A58" s="1">
        <f t="shared" si="23"/>
        <v>19</v>
      </c>
      <c r="B58" s="1">
        <f t="shared" si="17"/>
        <v>361</v>
      </c>
      <c r="C58" s="1">
        <f t="shared" si="18"/>
        <v>64.98</v>
      </c>
      <c r="D58" s="1">
        <f t="shared" si="19"/>
        <v>1.1542229735839104E-3</v>
      </c>
      <c r="E58" s="3">
        <f t="shared" si="20"/>
        <v>40.332013132103476</v>
      </c>
      <c r="F58">
        <f t="shared" si="21"/>
        <v>1000.0000000000001</v>
      </c>
      <c r="G58" s="1">
        <f t="shared" si="16"/>
        <v>1.1542229735839105</v>
      </c>
      <c r="I58" s="3">
        <f t="shared" si="22"/>
        <v>14559.856740689354</v>
      </c>
      <c r="J58" s="3"/>
      <c r="L58" s="3"/>
      <c r="M58" s="3"/>
      <c r="N58" s="3"/>
      <c r="O58" s="3"/>
    </row>
    <row r="59" spans="1:15">
      <c r="A59" s="1">
        <f t="shared" si="23"/>
        <v>20</v>
      </c>
      <c r="B59" s="1">
        <f t="shared" si="17"/>
        <v>400</v>
      </c>
      <c r="C59" s="1">
        <f t="shared" si="18"/>
        <v>72</v>
      </c>
      <c r="D59" s="1">
        <f t="shared" si="19"/>
        <v>1.0454283076230966E-3</v>
      </c>
      <c r="E59" s="3">
        <f t="shared" si="20"/>
        <v>36.486762602527804</v>
      </c>
      <c r="F59">
        <f t="shared" si="21"/>
        <v>1000</v>
      </c>
      <c r="G59" s="1">
        <f t="shared" si="16"/>
        <v>1.0454283076230966</v>
      </c>
      <c r="I59" s="3">
        <f t="shared" si="22"/>
        <v>14594.705041011122</v>
      </c>
      <c r="J59" s="3"/>
      <c r="L59" s="3"/>
      <c r="M59" s="3"/>
      <c r="N59" s="3"/>
      <c r="O59" s="3"/>
    </row>
    <row r="60" spans="1:15">
      <c r="A60" s="1">
        <f t="shared" si="23"/>
        <v>21</v>
      </c>
      <c r="B60" s="1">
        <f t="shared" si="17"/>
        <v>441</v>
      </c>
      <c r="C60" s="1">
        <f t="shared" si="18"/>
        <v>79.38</v>
      </c>
      <c r="D60" s="1">
        <f t="shared" si="19"/>
        <v>9.5117152762417797E-4</v>
      </c>
      <c r="E60" s="3">
        <f t="shared" si="20"/>
        <v>33.162876149922731</v>
      </c>
      <c r="F60">
        <f t="shared" si="21"/>
        <v>1000.0000000000001</v>
      </c>
      <c r="G60" s="1">
        <f t="shared" si="16"/>
        <v>0.95117152762417811</v>
      </c>
      <c r="I60" s="3">
        <f t="shared" si="22"/>
        <v>14624.828382115924</v>
      </c>
      <c r="J60" s="3"/>
      <c r="L60" s="3"/>
      <c r="M60" s="3"/>
      <c r="N60" s="3"/>
      <c r="O60" s="3"/>
    </row>
    <row r="61" spans="1:15">
      <c r="A61" s="1">
        <f t="shared" si="23"/>
        <v>22</v>
      </c>
      <c r="B61" s="1">
        <f t="shared" si="17"/>
        <v>484</v>
      </c>
      <c r="C61" s="1">
        <f t="shared" si="18"/>
        <v>87.11999999999999</v>
      </c>
      <c r="D61" s="1">
        <f t="shared" si="19"/>
        <v>8.6899751305122383E-4</v>
      </c>
      <c r="E61" s="3">
        <f t="shared" si="20"/>
        <v>30.270741512084076</v>
      </c>
      <c r="F61">
        <f t="shared" si="21"/>
        <v>1000</v>
      </c>
      <c r="G61" s="1">
        <f t="shared" si="16"/>
        <v>0.86899751305122386</v>
      </c>
      <c r="I61" s="3">
        <f t="shared" si="22"/>
        <v>14651.038891848693</v>
      </c>
      <c r="J61" s="3"/>
      <c r="L61" s="3"/>
      <c r="M61" s="3"/>
      <c r="N61" s="3"/>
      <c r="O61" s="3"/>
    </row>
    <row r="62" spans="1:15">
      <c r="A62" s="1">
        <f t="shared" si="23"/>
        <v>23</v>
      </c>
      <c r="B62" s="1">
        <f t="shared" si="17"/>
        <v>529</v>
      </c>
      <c r="C62" s="1">
        <f t="shared" si="18"/>
        <v>95.22</v>
      </c>
      <c r="D62" s="1">
        <f t="shared" si="19"/>
        <v>7.969435897901934E-4</v>
      </c>
      <c r="E62" s="3">
        <f t="shared" si="20"/>
        <v>27.73909714786603</v>
      </c>
      <c r="F62">
        <f t="shared" si="21"/>
        <v>1000</v>
      </c>
      <c r="G62" s="1">
        <f t="shared" si="16"/>
        <v>0.79694358979019342</v>
      </c>
      <c r="I62" s="3">
        <f t="shared" si="22"/>
        <v>14673.98239122113</v>
      </c>
      <c r="J62" s="3"/>
      <c r="L62" s="3"/>
      <c r="M62" s="3"/>
      <c r="N62" s="3"/>
      <c r="O62" s="3"/>
    </row>
    <row r="63" spans="1:15">
      <c r="E63" s="3"/>
      <c r="I63" s="3"/>
      <c r="J63" s="3"/>
      <c r="L63" s="3"/>
      <c r="M63" s="3"/>
      <c r="N63" s="3"/>
      <c r="O63" s="3"/>
    </row>
    <row r="64" spans="1:15">
      <c r="E64" s="3"/>
      <c r="I64" s="3"/>
      <c r="J64" s="3"/>
      <c r="L64" s="3"/>
      <c r="M64" s="3"/>
      <c r="N64" s="3"/>
      <c r="O64" s="3"/>
    </row>
    <row r="65" spans="1:15">
      <c r="A65" s="1" t="s">
        <v>28</v>
      </c>
      <c r="B65" s="1" t="s">
        <v>11</v>
      </c>
      <c r="C65" s="1">
        <v>800</v>
      </c>
      <c r="D65" s="1"/>
      <c r="E65" s="3"/>
      <c r="F65" s="1"/>
      <c r="G65" s="1"/>
      <c r="I65" s="3"/>
      <c r="J65" s="3"/>
      <c r="L65" s="3"/>
      <c r="M65" s="3"/>
      <c r="N65" s="3"/>
      <c r="O65" s="3"/>
    </row>
    <row r="66" spans="1:15">
      <c r="A66" s="1"/>
      <c r="B66" s="1" t="s">
        <v>13</v>
      </c>
      <c r="C66" s="1" t="s">
        <v>24</v>
      </c>
      <c r="D66" s="1" t="s">
        <v>25</v>
      </c>
      <c r="E66" s="3" t="s">
        <v>23</v>
      </c>
      <c r="F66" s="1" t="s">
        <v>26</v>
      </c>
      <c r="G66" s="1" t="s">
        <v>27</v>
      </c>
      <c r="I66" s="3" t="s">
        <v>29</v>
      </c>
      <c r="J66" s="3"/>
      <c r="L66" s="3"/>
      <c r="M66" s="3"/>
      <c r="N66" s="3"/>
      <c r="O66" s="3"/>
    </row>
    <row r="67" spans="1:15">
      <c r="A67" s="1">
        <v>0</v>
      </c>
      <c r="B67" s="1">
        <v>0</v>
      </c>
      <c r="C67" s="1">
        <v>0</v>
      </c>
      <c r="D67" s="1"/>
      <c r="E67" s="3">
        <f>$A$3/($C$3*B67 + $D$3 *$E$3*C$65)</f>
        <v>823.45191040843224</v>
      </c>
      <c r="F67">
        <f>$C$3*B67*E67 +$D$3*E67*$E$3*C$65</f>
        <v>1000.0000000000002</v>
      </c>
      <c r="G67" s="1">
        <f t="shared" ref="G67:G98" si="24">C67^(-1-$H$3)*E67^(-1*$H$3)*$C$37^(-2-$H$3/2)</f>
        <v>0</v>
      </c>
      <c r="I67" s="3"/>
      <c r="J67" s="3"/>
      <c r="L67" s="3"/>
      <c r="M67" s="3"/>
      <c r="N67" s="3"/>
      <c r="O67" s="3"/>
    </row>
    <row r="68" spans="1:15">
      <c r="A68" s="1">
        <v>1</v>
      </c>
      <c r="B68" s="1">
        <f>A68^2</f>
        <v>1</v>
      </c>
      <c r="C68" s="1">
        <f>0.18*B68/4</f>
        <v>4.4999999999999998E-2</v>
      </c>
      <c r="D68" s="1">
        <f>G68/F68</f>
        <v>2.5852597711393892E-3</v>
      </c>
      <c r="E68" s="3">
        <f>$A$3/($C$3*B68 + $D$3 *$E$3*C$65)</f>
        <v>780.3964413922273</v>
      </c>
      <c r="F68">
        <f>$C$3*B68*E68 +$D$3*E68*$E$3*C$65</f>
        <v>1000.0000000000001</v>
      </c>
      <c r="G68" s="1">
        <f t="shared" si="24"/>
        <v>2.5852597711393894</v>
      </c>
      <c r="I68" s="3">
        <f t="shared" si="22"/>
        <v>780.3964413922273</v>
      </c>
      <c r="J68" s="3"/>
      <c r="L68" s="3"/>
      <c r="M68" s="3"/>
      <c r="N68" s="3"/>
      <c r="O68" s="3"/>
    </row>
    <row r="69" spans="1:15">
      <c r="A69" s="1">
        <f>A68+1</f>
        <v>2</v>
      </c>
      <c r="B69" s="1">
        <f t="shared" ref="B69:B98" si="25">A69^2</f>
        <v>4</v>
      </c>
      <c r="C69" s="1">
        <f t="shared" ref="C69:C98" si="26">0.18*B69/4</f>
        <v>0.18</v>
      </c>
      <c r="D69" s="1">
        <f t="shared" ref="D69:D98" si="27">G69/F69</f>
        <v>4.1554030472814195E-3</v>
      </c>
      <c r="E69" s="3">
        <f t="shared" ref="E69:E98" si="28">$A$3/($C$3*B69 + $D$3 *$E$3*C$65)</f>
        <v>674.58175930922835</v>
      </c>
      <c r="F69">
        <f t="shared" ref="F69:F98" si="29">$C$3*B69*E69 +$D$3*E69*$E$3*C$65</f>
        <v>1000.0000000000001</v>
      </c>
      <c r="G69" s="1">
        <f t="shared" si="24"/>
        <v>4.1554030472814203</v>
      </c>
      <c r="I69" s="3">
        <f t="shared" si="22"/>
        <v>2698.3270372369134</v>
      </c>
      <c r="J69" s="3"/>
      <c r="L69" s="3"/>
      <c r="M69" s="3"/>
      <c r="N69" s="3"/>
      <c r="O69" s="3"/>
    </row>
    <row r="70" spans="1:15">
      <c r="A70" s="1">
        <f t="shared" ref="A70:A98" si="30">A69+1</f>
        <v>3</v>
      </c>
      <c r="B70" s="1">
        <f t="shared" si="25"/>
        <v>9</v>
      </c>
      <c r="C70" s="1">
        <f t="shared" si="26"/>
        <v>0.40499999999999997</v>
      </c>
      <c r="D70" s="1">
        <f t="shared" si="27"/>
        <v>4.5917341640240496E-3</v>
      </c>
      <c r="E70" s="3">
        <f t="shared" si="28"/>
        <v>550.23660173874771</v>
      </c>
      <c r="F70">
        <f t="shared" si="29"/>
        <v>1000</v>
      </c>
      <c r="G70" s="1">
        <f t="shared" si="24"/>
        <v>4.5917341640240492</v>
      </c>
      <c r="I70" s="3">
        <f t="shared" si="22"/>
        <v>4952.1294156487293</v>
      </c>
      <c r="J70" s="3"/>
      <c r="L70" s="3"/>
      <c r="M70" s="3"/>
      <c r="N70" s="3"/>
      <c r="O70" s="3"/>
    </row>
    <row r="71" spans="1:15">
      <c r="A71" s="1">
        <f t="shared" si="30"/>
        <v>4</v>
      </c>
      <c r="B71" s="1">
        <f t="shared" si="25"/>
        <v>16</v>
      </c>
      <c r="C71" s="1">
        <f t="shared" si="26"/>
        <v>0.72</v>
      </c>
      <c r="D71" s="1">
        <f t="shared" si="27"/>
        <v>4.3387331683646573E-3</v>
      </c>
      <c r="E71" s="3">
        <f t="shared" si="28"/>
        <v>437.36878936319107</v>
      </c>
      <c r="F71">
        <f t="shared" si="29"/>
        <v>1000.0000000000001</v>
      </c>
      <c r="G71" s="1">
        <f t="shared" si="24"/>
        <v>4.3387331683646577</v>
      </c>
      <c r="I71" s="3">
        <f t="shared" si="22"/>
        <v>6997.9006298110571</v>
      </c>
      <c r="J71" s="3"/>
      <c r="L71" s="3"/>
      <c r="M71" s="3"/>
      <c r="N71" s="3"/>
      <c r="O71" s="3"/>
    </row>
    <row r="72" spans="1:15">
      <c r="A72" s="1">
        <f t="shared" si="30"/>
        <v>5</v>
      </c>
      <c r="B72" s="1">
        <f t="shared" si="25"/>
        <v>25</v>
      </c>
      <c r="C72" s="1">
        <f t="shared" si="26"/>
        <v>1.125</v>
      </c>
      <c r="D72" s="1">
        <f t="shared" si="27"/>
        <v>3.8175942633931633E-3</v>
      </c>
      <c r="E72" s="3">
        <f t="shared" si="28"/>
        <v>346.09261438360903</v>
      </c>
      <c r="F72">
        <f t="shared" si="29"/>
        <v>1000</v>
      </c>
      <c r="G72" s="1">
        <f t="shared" si="24"/>
        <v>3.8175942633931634</v>
      </c>
      <c r="I72" s="3">
        <f t="shared" si="22"/>
        <v>8652.3153595902259</v>
      </c>
      <c r="J72" s="3"/>
      <c r="L72" s="3"/>
      <c r="M72" s="3"/>
      <c r="N72" s="3"/>
      <c r="O72" s="3"/>
    </row>
    <row r="73" spans="1:15">
      <c r="A73" s="1">
        <f t="shared" si="30"/>
        <v>6</v>
      </c>
      <c r="B73" s="1">
        <f t="shared" si="25"/>
        <v>36</v>
      </c>
      <c r="C73" s="1">
        <f t="shared" si="26"/>
        <v>1.6199999999999999</v>
      </c>
      <c r="D73" s="1">
        <f t="shared" si="27"/>
        <v>3.2581341283126376E-3</v>
      </c>
      <c r="E73" s="3">
        <f t="shared" si="28"/>
        <v>275.75557026251931</v>
      </c>
      <c r="F73">
        <f t="shared" si="29"/>
        <v>1000</v>
      </c>
      <c r="G73" s="1">
        <f t="shared" si="24"/>
        <v>3.2581341283126375</v>
      </c>
      <c r="I73" s="3">
        <f t="shared" si="22"/>
        <v>9927.2005294506962</v>
      </c>
      <c r="J73" s="3"/>
      <c r="L73" s="3"/>
      <c r="M73" s="3"/>
      <c r="N73" s="3"/>
      <c r="O73" s="3"/>
    </row>
    <row r="74" spans="1:15">
      <c r="A74" s="1">
        <f t="shared" si="30"/>
        <v>7</v>
      </c>
      <c r="B74" s="1">
        <f t="shared" si="25"/>
        <v>49</v>
      </c>
      <c r="C74" s="1">
        <f t="shared" si="26"/>
        <v>2.2050000000000001</v>
      </c>
      <c r="D74" s="1">
        <f t="shared" si="27"/>
        <v>2.7522446387278068E-3</v>
      </c>
      <c r="E74" s="3">
        <f t="shared" si="28"/>
        <v>222.35069151065056</v>
      </c>
      <c r="F74">
        <f t="shared" si="29"/>
        <v>1000</v>
      </c>
      <c r="G74" s="1">
        <f t="shared" si="24"/>
        <v>2.7522446387278068</v>
      </c>
      <c r="I74" s="3">
        <f t="shared" si="22"/>
        <v>10895.183884021877</v>
      </c>
      <c r="J74" s="3"/>
      <c r="L74" s="3"/>
      <c r="M74" s="3"/>
      <c r="N74" s="3"/>
      <c r="O74" s="3"/>
    </row>
    <row r="75" spans="1:15">
      <c r="A75" s="1">
        <f t="shared" si="30"/>
        <v>8</v>
      </c>
      <c r="B75" s="1">
        <f t="shared" si="25"/>
        <v>64</v>
      </c>
      <c r="C75" s="1">
        <f t="shared" si="26"/>
        <v>2.88</v>
      </c>
      <c r="D75" s="1">
        <f t="shared" si="27"/>
        <v>2.3243044677275326E-3</v>
      </c>
      <c r="E75" s="3">
        <f t="shared" si="28"/>
        <v>181.73887758069208</v>
      </c>
      <c r="F75">
        <f t="shared" si="29"/>
        <v>1000.0000000000001</v>
      </c>
      <c r="G75" s="1">
        <f t="shared" si="24"/>
        <v>2.3243044677275329</v>
      </c>
      <c r="I75" s="3">
        <f t="shared" si="22"/>
        <v>11631.288165164293</v>
      </c>
      <c r="J75" s="3"/>
      <c r="L75" s="3"/>
      <c r="M75" s="3"/>
      <c r="N75" s="3"/>
      <c r="O75" s="3"/>
    </row>
    <row r="76" spans="1:15">
      <c r="A76" s="1">
        <f t="shared" si="30"/>
        <v>9</v>
      </c>
      <c r="B76" s="1">
        <f t="shared" si="25"/>
        <v>81</v>
      </c>
      <c r="C76" s="1">
        <f t="shared" si="26"/>
        <v>3.645</v>
      </c>
      <c r="D76" s="1">
        <f t="shared" si="27"/>
        <v>1.9718974274743309E-3</v>
      </c>
      <c r="E76" s="3">
        <f t="shared" si="28"/>
        <v>150.57066281205769</v>
      </c>
      <c r="F76">
        <f t="shared" si="29"/>
        <v>1000.0000000000001</v>
      </c>
      <c r="G76" s="1">
        <f t="shared" si="24"/>
        <v>1.9718974274743313</v>
      </c>
      <c r="I76" s="3">
        <f t="shared" si="22"/>
        <v>12196.223687776674</v>
      </c>
      <c r="J76" s="3"/>
      <c r="L76" s="3"/>
      <c r="M76" s="3"/>
      <c r="N76" s="3"/>
      <c r="O76" s="3"/>
    </row>
    <row r="77" spans="1:15">
      <c r="A77" s="1">
        <f t="shared" si="30"/>
        <v>10</v>
      </c>
      <c r="B77" s="1">
        <f t="shared" si="25"/>
        <v>100</v>
      </c>
      <c r="C77" s="1">
        <f t="shared" si="26"/>
        <v>4.5</v>
      </c>
      <c r="D77" s="1">
        <f t="shared" si="27"/>
        <v>1.6842411485777766E-3</v>
      </c>
      <c r="E77" s="3">
        <f t="shared" si="28"/>
        <v>126.35196603659152</v>
      </c>
      <c r="F77">
        <f t="shared" si="29"/>
        <v>1000</v>
      </c>
      <c r="G77" s="1">
        <f t="shared" si="24"/>
        <v>1.6842411485777766</v>
      </c>
      <c r="I77" s="3">
        <f t="shared" si="22"/>
        <v>12635.196603659151</v>
      </c>
      <c r="J77" s="3"/>
      <c r="L77" s="3"/>
      <c r="M77" s="3"/>
      <c r="N77" s="3"/>
      <c r="O77" s="3"/>
    </row>
    <row r="78" spans="1:15">
      <c r="A78" s="1">
        <f t="shared" si="30"/>
        <v>11</v>
      </c>
      <c r="B78" s="1">
        <f t="shared" si="25"/>
        <v>121</v>
      </c>
      <c r="C78" s="1">
        <f t="shared" si="26"/>
        <v>5.4449999999999994</v>
      </c>
      <c r="D78" s="1">
        <f t="shared" si="27"/>
        <v>1.4494466526967385E-3</v>
      </c>
      <c r="E78" s="3">
        <f t="shared" si="28"/>
        <v>107.28002231424463</v>
      </c>
      <c r="F78">
        <f t="shared" si="29"/>
        <v>1000</v>
      </c>
      <c r="G78" s="1">
        <f t="shared" si="24"/>
        <v>1.4494466526967384</v>
      </c>
      <c r="I78" s="3">
        <f t="shared" si="22"/>
        <v>12980.8827000236</v>
      </c>
      <c r="J78" s="3"/>
      <c r="L78" s="3"/>
      <c r="M78" s="3"/>
      <c r="N78" s="3"/>
      <c r="O78" s="3"/>
    </row>
    <row r="79" spans="1:15">
      <c r="A79" s="1">
        <f t="shared" si="30"/>
        <v>12</v>
      </c>
      <c r="B79" s="1">
        <f t="shared" si="25"/>
        <v>144</v>
      </c>
      <c r="C79" s="1">
        <f t="shared" si="26"/>
        <v>6.4799999999999995</v>
      </c>
      <c r="D79" s="1">
        <f t="shared" si="27"/>
        <v>1.2569668575130582E-3</v>
      </c>
      <c r="E79" s="3">
        <f t="shared" si="28"/>
        <v>92.060686404477835</v>
      </c>
      <c r="F79">
        <f t="shared" si="29"/>
        <v>1000</v>
      </c>
      <c r="G79" s="1">
        <f t="shared" si="24"/>
        <v>1.2569668575130581</v>
      </c>
      <c r="I79" s="3">
        <f t="shared" si="22"/>
        <v>13256.738842244808</v>
      </c>
      <c r="J79" s="3"/>
      <c r="L79" s="3"/>
      <c r="M79" s="3"/>
      <c r="N79" s="3"/>
      <c r="O79" s="3"/>
    </row>
    <row r="80" spans="1:15">
      <c r="A80" s="1">
        <f t="shared" si="30"/>
        <v>13</v>
      </c>
      <c r="B80" s="1">
        <f t="shared" si="25"/>
        <v>169</v>
      </c>
      <c r="C80" s="1">
        <f t="shared" si="26"/>
        <v>7.6049999999999995</v>
      </c>
      <c r="D80" s="1">
        <f t="shared" si="27"/>
        <v>1.0981543771122252E-3</v>
      </c>
      <c r="E80" s="3">
        <f t="shared" si="28"/>
        <v>79.761354028745998</v>
      </c>
      <c r="F80">
        <f t="shared" si="29"/>
        <v>1000.0000000000001</v>
      </c>
      <c r="G80" s="1">
        <f t="shared" si="24"/>
        <v>1.0981543771122253</v>
      </c>
      <c r="I80" s="3">
        <f t="shared" si="22"/>
        <v>13479.668830858074</v>
      </c>
      <c r="J80" s="3"/>
      <c r="L80" s="3"/>
      <c r="M80" s="3"/>
      <c r="N80" s="3"/>
      <c r="O80" s="3"/>
    </row>
    <row r="81" spans="1:15">
      <c r="A81" s="1">
        <f t="shared" si="30"/>
        <v>14</v>
      </c>
      <c r="B81" s="1">
        <f t="shared" si="25"/>
        <v>196</v>
      </c>
      <c r="C81" s="1">
        <f t="shared" si="26"/>
        <v>8.82</v>
      </c>
      <c r="D81" s="1">
        <f t="shared" si="27"/>
        <v>9.661507607860258E-4</v>
      </c>
      <c r="E81" s="3">
        <f t="shared" si="28"/>
        <v>69.703897841967319</v>
      </c>
      <c r="F81">
        <f t="shared" si="29"/>
        <v>1000</v>
      </c>
      <c r="G81" s="1">
        <f t="shared" si="24"/>
        <v>0.9661507607860258</v>
      </c>
      <c r="I81" s="3">
        <f t="shared" si="22"/>
        <v>13661.963977025594</v>
      </c>
      <c r="J81" s="3"/>
      <c r="L81" s="3"/>
      <c r="M81" s="3"/>
      <c r="N81" s="3"/>
      <c r="O81" s="3"/>
    </row>
    <row r="82" spans="1:15">
      <c r="A82" s="1">
        <f t="shared" si="30"/>
        <v>15</v>
      </c>
      <c r="B82" s="1">
        <f t="shared" si="25"/>
        <v>225</v>
      </c>
      <c r="C82" s="1">
        <f t="shared" si="26"/>
        <v>10.125</v>
      </c>
      <c r="D82" s="1">
        <f t="shared" si="27"/>
        <v>8.5558841403415918E-4</v>
      </c>
      <c r="E82" s="3">
        <f t="shared" si="28"/>
        <v>61.389615332670324</v>
      </c>
      <c r="F82">
        <f t="shared" si="29"/>
        <v>1000</v>
      </c>
      <c r="G82" s="1">
        <f t="shared" si="24"/>
        <v>0.85558841403415919</v>
      </c>
      <c r="I82" s="3">
        <f t="shared" si="22"/>
        <v>13812.663449850823</v>
      </c>
      <c r="J82" s="3"/>
      <c r="L82" s="3"/>
      <c r="M82" s="3"/>
      <c r="N82" s="3"/>
      <c r="O82" s="3"/>
    </row>
    <row r="83" spans="1:15">
      <c r="A83" s="1">
        <f t="shared" si="30"/>
        <v>16</v>
      </c>
      <c r="B83" s="1">
        <f t="shared" si="25"/>
        <v>256</v>
      </c>
      <c r="C83" s="1">
        <f t="shared" si="26"/>
        <v>11.52</v>
      </c>
      <c r="D83" s="1">
        <f t="shared" si="27"/>
        <v>7.6228117120632642E-4</v>
      </c>
      <c r="E83" s="3">
        <f t="shared" si="28"/>
        <v>54.447251502744137</v>
      </c>
      <c r="F83">
        <f t="shared" si="29"/>
        <v>1000</v>
      </c>
      <c r="G83" s="1">
        <f t="shared" si="24"/>
        <v>0.76228117120632644</v>
      </c>
      <c r="I83" s="3">
        <f t="shared" si="22"/>
        <v>13938.496384702499</v>
      </c>
      <c r="J83" s="3"/>
      <c r="L83" s="3"/>
      <c r="M83" s="3"/>
      <c r="N83" s="3"/>
      <c r="O83" s="3"/>
    </row>
    <row r="84" spans="1:15">
      <c r="A84" s="1">
        <f t="shared" si="30"/>
        <v>17</v>
      </c>
      <c r="B84" s="1">
        <f t="shared" si="25"/>
        <v>289</v>
      </c>
      <c r="C84" s="1">
        <f t="shared" si="26"/>
        <v>13.004999999999999</v>
      </c>
      <c r="D84" s="1">
        <f t="shared" si="27"/>
        <v>6.8295869626788645E-4</v>
      </c>
      <c r="E84" s="3">
        <f t="shared" si="28"/>
        <v>48.597004480643811</v>
      </c>
      <c r="F84">
        <f t="shared" si="29"/>
        <v>1000</v>
      </c>
      <c r="G84" s="1">
        <f t="shared" si="24"/>
        <v>0.68295869626788641</v>
      </c>
      <c r="I84" s="3">
        <f t="shared" si="22"/>
        <v>14044.534294906061</v>
      </c>
      <c r="J84" s="3"/>
      <c r="L84" s="3"/>
      <c r="M84" s="3"/>
      <c r="N84" s="3"/>
      <c r="O84" s="3"/>
    </row>
    <row r="85" spans="1:15">
      <c r="A85" s="1">
        <f t="shared" si="30"/>
        <v>18</v>
      </c>
      <c r="B85" s="1">
        <f t="shared" si="25"/>
        <v>324</v>
      </c>
      <c r="C85" s="1">
        <f t="shared" si="26"/>
        <v>14.58</v>
      </c>
      <c r="D85" s="1">
        <f t="shared" si="27"/>
        <v>6.1505455995828772E-4</v>
      </c>
      <c r="E85" s="3">
        <f t="shared" si="28"/>
        <v>43.625449342128221</v>
      </c>
      <c r="F85">
        <f t="shared" si="29"/>
        <v>1000</v>
      </c>
      <c r="G85" s="1">
        <f t="shared" si="24"/>
        <v>0.61505455995828773</v>
      </c>
      <c r="I85" s="3">
        <f t="shared" si="22"/>
        <v>14134.645586849543</v>
      </c>
      <c r="J85" s="3"/>
      <c r="L85" s="3"/>
      <c r="M85" s="3"/>
      <c r="N85" s="3"/>
      <c r="O85" s="3"/>
    </row>
    <row r="86" spans="1:15">
      <c r="A86" s="1">
        <f t="shared" si="30"/>
        <v>19</v>
      </c>
      <c r="B86" s="1">
        <f t="shared" si="25"/>
        <v>361</v>
      </c>
      <c r="C86" s="1">
        <f t="shared" si="26"/>
        <v>16.245000000000001</v>
      </c>
      <c r="D86" s="1">
        <f t="shared" si="27"/>
        <v>5.5654256914315896E-4</v>
      </c>
      <c r="E86" s="3">
        <f t="shared" si="28"/>
        <v>39.367908855417411</v>
      </c>
      <c r="F86">
        <f t="shared" si="29"/>
        <v>999.99999999999989</v>
      </c>
      <c r="G86" s="1">
        <f t="shared" si="24"/>
        <v>0.55654256914315892</v>
      </c>
      <c r="I86" s="3">
        <f t="shared" si="22"/>
        <v>14211.815096805685</v>
      </c>
      <c r="J86" s="3"/>
      <c r="L86" s="3"/>
      <c r="M86" s="3"/>
      <c r="N86" s="3"/>
      <c r="O86" s="3"/>
    </row>
    <row r="87" spans="1:15">
      <c r="A87" s="1">
        <f t="shared" si="30"/>
        <v>20</v>
      </c>
      <c r="B87" s="1">
        <f t="shared" si="25"/>
        <v>400</v>
      </c>
      <c r="C87" s="1">
        <f t="shared" si="26"/>
        <v>18</v>
      </c>
      <c r="D87" s="1">
        <f t="shared" si="27"/>
        <v>5.058121710842259E-4</v>
      </c>
      <c r="E87" s="3">
        <f t="shared" si="28"/>
        <v>35.695927808555595</v>
      </c>
      <c r="F87">
        <f t="shared" si="29"/>
        <v>999.99999999999989</v>
      </c>
      <c r="G87" s="1">
        <f t="shared" si="24"/>
        <v>0.50581217108422583</v>
      </c>
      <c r="I87" s="3">
        <f t="shared" si="22"/>
        <v>14278.371123422237</v>
      </c>
      <c r="J87" s="3"/>
      <c r="L87" s="3"/>
      <c r="M87" s="3"/>
      <c r="N87" s="3"/>
      <c r="O87" s="3"/>
    </row>
    <row r="88" spans="1:15">
      <c r="A88" s="1">
        <f t="shared" si="30"/>
        <v>21</v>
      </c>
      <c r="B88" s="1">
        <f t="shared" si="25"/>
        <v>441</v>
      </c>
      <c r="C88" s="1">
        <f t="shared" si="26"/>
        <v>19.844999999999999</v>
      </c>
      <c r="D88" s="1">
        <f t="shared" si="27"/>
        <v>4.6157408447720515E-4</v>
      </c>
      <c r="E88" s="3">
        <f t="shared" si="28"/>
        <v>32.508273355568988</v>
      </c>
      <c r="F88">
        <f t="shared" si="29"/>
        <v>999.99999999999989</v>
      </c>
      <c r="G88" s="1">
        <f t="shared" si="24"/>
        <v>0.4615740844772051</v>
      </c>
      <c r="I88" s="3">
        <f t="shared" si="22"/>
        <v>14336.148549805925</v>
      </c>
      <c r="J88" s="3"/>
      <c r="L88" s="3"/>
      <c r="M88" s="3"/>
      <c r="N88" s="3"/>
      <c r="O88" s="3"/>
    </row>
    <row r="89" spans="1:15">
      <c r="A89" s="1">
        <f t="shared" si="30"/>
        <v>22</v>
      </c>
      <c r="B89" s="1">
        <f t="shared" si="25"/>
        <v>484</v>
      </c>
      <c r="C89" s="1">
        <f t="shared" si="26"/>
        <v>21.779999999999998</v>
      </c>
      <c r="D89" s="1">
        <f t="shared" si="27"/>
        <v>4.2278881879132587E-4</v>
      </c>
      <c r="E89" s="3">
        <f t="shared" si="28"/>
        <v>29.724395405797445</v>
      </c>
      <c r="F89">
        <f t="shared" si="29"/>
        <v>1000.0000000000001</v>
      </c>
      <c r="G89" s="1">
        <f t="shared" si="24"/>
        <v>0.4227888187913259</v>
      </c>
      <c r="I89" s="3">
        <f t="shared" si="22"/>
        <v>14386.607376405964</v>
      </c>
      <c r="J89" s="3"/>
      <c r="L89" s="3"/>
      <c r="M89" s="3"/>
      <c r="N89" s="3"/>
      <c r="O89" s="3"/>
    </row>
    <row r="90" spans="1:15">
      <c r="A90" s="1">
        <f t="shared" si="30"/>
        <v>23</v>
      </c>
      <c r="B90" s="1">
        <f t="shared" si="25"/>
        <v>529</v>
      </c>
      <c r="C90" s="1">
        <f t="shared" si="26"/>
        <v>23.805</v>
      </c>
      <c r="D90" s="1">
        <f t="shared" si="27"/>
        <v>3.8861236587009641E-4</v>
      </c>
      <c r="E90" s="3">
        <f t="shared" si="28"/>
        <v>27.279621577089479</v>
      </c>
      <c r="F90">
        <f t="shared" si="29"/>
        <v>1000</v>
      </c>
      <c r="G90" s="1">
        <f t="shared" si="24"/>
        <v>0.3886123658700964</v>
      </c>
      <c r="I90" s="3">
        <f t="shared" si="22"/>
        <v>14430.919814280334</v>
      </c>
      <c r="J90" s="3"/>
      <c r="L90" s="3"/>
      <c r="M90" s="3"/>
      <c r="N90" s="3"/>
      <c r="O90" s="3"/>
    </row>
    <row r="91" spans="1:15">
      <c r="A91" s="1">
        <f t="shared" si="30"/>
        <v>24</v>
      </c>
      <c r="B91" s="1">
        <f t="shared" si="25"/>
        <v>576</v>
      </c>
      <c r="C91" s="1">
        <f t="shared" si="26"/>
        <v>25.919999999999998</v>
      </c>
      <c r="D91" s="1">
        <f t="shared" si="27"/>
        <v>3.5835474164622172E-4</v>
      </c>
      <c r="E91" s="3">
        <f t="shared" si="28"/>
        <v>25.121588488283294</v>
      </c>
      <c r="F91">
        <f t="shared" si="29"/>
        <v>1000.0000000000001</v>
      </c>
      <c r="G91" s="1">
        <f t="shared" si="24"/>
        <v>0.35835474164622177</v>
      </c>
      <c r="I91" s="3">
        <f t="shared" si="22"/>
        <v>14470.034969251177</v>
      </c>
      <c r="J91" s="3"/>
      <c r="L91" s="3"/>
      <c r="M91" s="3"/>
      <c r="N91" s="3"/>
      <c r="O91" s="3"/>
    </row>
    <row r="92" spans="1:15">
      <c r="A92" s="1">
        <f t="shared" si="30"/>
        <v>25</v>
      </c>
      <c r="B92" s="1">
        <f t="shared" si="25"/>
        <v>625</v>
      </c>
      <c r="C92" s="1">
        <f t="shared" si="26"/>
        <v>28.125</v>
      </c>
      <c r="D92" s="1">
        <f t="shared" si="27"/>
        <v>3.3144815527562729E-4</v>
      </c>
      <c r="E92" s="3">
        <f t="shared" si="28"/>
        <v>23.207563809196696</v>
      </c>
      <c r="F92">
        <f t="shared" si="29"/>
        <v>1000</v>
      </c>
      <c r="G92" s="1">
        <f t="shared" si="24"/>
        <v>0.33144815527562727</v>
      </c>
      <c r="I92" s="3">
        <f t="shared" si="22"/>
        <v>14504.727380747934</v>
      </c>
      <c r="J92" s="3"/>
      <c r="L92" s="3"/>
      <c r="M92" s="3"/>
      <c r="N92" s="3"/>
      <c r="O92" s="3"/>
    </row>
    <row r="93" spans="1:15">
      <c r="A93" s="1">
        <f t="shared" si="30"/>
        <v>26</v>
      </c>
      <c r="B93" s="1">
        <f t="shared" si="25"/>
        <v>676</v>
      </c>
      <c r="C93" s="1">
        <f t="shared" si="26"/>
        <v>30.419999999999998</v>
      </c>
      <c r="D93" s="1">
        <f t="shared" si="27"/>
        <v>3.0742241629761841E-4</v>
      </c>
      <c r="E93" s="3">
        <f t="shared" si="28"/>
        <v>21.502416871656376</v>
      </c>
      <c r="F93">
        <f t="shared" si="29"/>
        <v>1000.0000000000001</v>
      </c>
      <c r="G93" s="1">
        <f t="shared" si="24"/>
        <v>0.30742241629761846</v>
      </c>
      <c r="I93" s="3">
        <f t="shared" si="22"/>
        <v>14535.63380523971</v>
      </c>
      <c r="J93" s="3"/>
      <c r="L93" s="3"/>
      <c r="M93" s="3"/>
      <c r="N93" s="3"/>
      <c r="O93" s="3"/>
    </row>
    <row r="94" spans="1:15">
      <c r="A94" s="1">
        <f t="shared" si="30"/>
        <v>27</v>
      </c>
      <c r="B94" s="1">
        <f t="shared" si="25"/>
        <v>729</v>
      </c>
      <c r="C94" s="1">
        <f t="shared" si="26"/>
        <v>32.805</v>
      </c>
      <c r="D94" s="1">
        <f t="shared" si="27"/>
        <v>2.8588580975440669E-4</v>
      </c>
      <c r="E94" s="3">
        <f t="shared" si="28"/>
        <v>19.977066327855621</v>
      </c>
      <c r="F94">
        <f t="shared" si="29"/>
        <v>1000</v>
      </c>
      <c r="G94" s="1">
        <f t="shared" si="24"/>
        <v>0.28588580975440669</v>
      </c>
      <c r="I94" s="3">
        <f t="shared" si="22"/>
        <v>14563.281353006747</v>
      </c>
      <c r="J94" s="3"/>
      <c r="L94" s="3"/>
      <c r="M94" s="3"/>
      <c r="N94" s="3"/>
      <c r="O94" s="3"/>
    </row>
    <row r="95" spans="1:15">
      <c r="A95" s="1">
        <f t="shared" si="30"/>
        <v>28</v>
      </c>
      <c r="B95" s="1">
        <f t="shared" si="25"/>
        <v>784</v>
      </c>
      <c r="C95" s="1">
        <f t="shared" si="26"/>
        <v>35.28</v>
      </c>
      <c r="D95" s="1">
        <f t="shared" si="27"/>
        <v>2.6651012533783979E-4</v>
      </c>
      <c r="E95" s="3">
        <f t="shared" si="28"/>
        <v>18.607282145940633</v>
      </c>
      <c r="F95">
        <f t="shared" si="29"/>
        <v>1000</v>
      </c>
      <c r="G95" s="1">
        <f t="shared" si="24"/>
        <v>0.2665101253378398</v>
      </c>
      <c r="I95" s="3">
        <f t="shared" si="22"/>
        <v>14588.109202417456</v>
      </c>
      <c r="J95" s="3"/>
      <c r="L95" s="3"/>
      <c r="M95" s="3"/>
      <c r="N95" s="3"/>
      <c r="O95" s="3"/>
    </row>
    <row r="96" spans="1:15">
      <c r="A96" s="1">
        <f t="shared" si="30"/>
        <v>29</v>
      </c>
      <c r="B96" s="1">
        <f t="shared" si="25"/>
        <v>841</v>
      </c>
      <c r="C96" s="1">
        <f t="shared" si="26"/>
        <v>37.844999999999999</v>
      </c>
      <c r="D96" s="1">
        <f t="shared" si="27"/>
        <v>2.4901886152608798E-4</v>
      </c>
      <c r="E96" s="3">
        <f t="shared" si="28"/>
        <v>17.372753268683528</v>
      </c>
      <c r="F96">
        <f t="shared" si="29"/>
        <v>1000</v>
      </c>
      <c r="G96" s="1">
        <f t="shared" si="24"/>
        <v>0.24901886152608799</v>
      </c>
      <c r="I96" s="3">
        <f t="shared" si="22"/>
        <v>14610.485498962847</v>
      </c>
      <c r="J96" s="3"/>
      <c r="L96" s="3"/>
      <c r="M96" s="3"/>
      <c r="N96" s="3"/>
      <c r="O96" s="3"/>
    </row>
    <row r="97" spans="1:15">
      <c r="A97" s="1">
        <f t="shared" si="30"/>
        <v>30</v>
      </c>
      <c r="B97" s="1">
        <f t="shared" si="25"/>
        <v>900</v>
      </c>
      <c r="C97" s="1">
        <f t="shared" si="26"/>
        <v>40.5</v>
      </c>
      <c r="D97" s="1">
        <f t="shared" si="27"/>
        <v>2.3317787165985269E-4</v>
      </c>
      <c r="E97" s="3">
        <f t="shared" si="28"/>
        <v>16.256356235287996</v>
      </c>
      <c r="F97">
        <f t="shared" si="29"/>
        <v>1000</v>
      </c>
      <c r="G97" s="1">
        <f t="shared" si="24"/>
        <v>0.23317787165985268</v>
      </c>
      <c r="I97" s="3">
        <f t="shared" si="22"/>
        <v>14630.720611759196</v>
      </c>
      <c r="J97" s="3"/>
      <c r="L97" s="3"/>
      <c r="M97" s="3"/>
      <c r="N97" s="3"/>
      <c r="O97" s="3"/>
    </row>
    <row r="98" spans="1:15">
      <c r="A98" s="1">
        <f t="shared" si="30"/>
        <v>31</v>
      </c>
      <c r="B98" s="1">
        <f t="shared" si="25"/>
        <v>961</v>
      </c>
      <c r="C98" s="1">
        <f t="shared" si="26"/>
        <v>43.244999999999997</v>
      </c>
      <c r="D98" s="1">
        <f t="shared" si="27"/>
        <v>2.1878790006513521E-4</v>
      </c>
      <c r="E98" s="3">
        <f t="shared" si="28"/>
        <v>15.243577118781001</v>
      </c>
      <c r="F98">
        <f t="shared" si="29"/>
        <v>1000</v>
      </c>
      <c r="G98" s="1">
        <f t="shared" si="24"/>
        <v>0.21878790006513521</v>
      </c>
      <c r="I98" s="3">
        <f t="shared" si="22"/>
        <v>14649.077611148543</v>
      </c>
      <c r="J98" s="3"/>
      <c r="L98" s="3"/>
      <c r="M98" s="3"/>
      <c r="N98" s="3"/>
      <c r="O98" s="3"/>
    </row>
    <row r="99" spans="1:15">
      <c r="A99" s="1" t="s">
        <v>28</v>
      </c>
      <c r="B99" s="1" t="s">
        <v>11</v>
      </c>
      <c r="C99" s="1">
        <v>1600</v>
      </c>
      <c r="D99" s="1"/>
      <c r="E99" s="3"/>
      <c r="F99" s="1"/>
      <c r="G99" s="1"/>
      <c r="I99" s="3"/>
      <c r="J99" s="3"/>
      <c r="L99" s="3"/>
      <c r="M99" s="3"/>
      <c r="N99" s="3"/>
      <c r="O99" s="3"/>
    </row>
    <row r="100" spans="1:15">
      <c r="A100" s="1"/>
      <c r="B100" s="1" t="s">
        <v>13</v>
      </c>
      <c r="C100" s="1" t="s">
        <v>24</v>
      </c>
      <c r="D100" s="1" t="s">
        <v>25</v>
      </c>
      <c r="E100" s="3" t="s">
        <v>23</v>
      </c>
      <c r="F100" s="1" t="s">
        <v>26</v>
      </c>
      <c r="G100" s="1" t="s">
        <v>27</v>
      </c>
      <c r="I100" s="3" t="s">
        <v>29</v>
      </c>
      <c r="J100" s="3"/>
      <c r="L100" s="3"/>
      <c r="M100" s="3"/>
      <c r="N100" s="3"/>
      <c r="O100" s="3"/>
    </row>
    <row r="101" spans="1:15">
      <c r="A101" s="1">
        <v>0</v>
      </c>
      <c r="B101" s="1">
        <v>0</v>
      </c>
      <c r="C101" s="1">
        <f t="shared" ref="C101" si="31">0.17*B101/16</f>
        <v>0</v>
      </c>
      <c r="D101" s="1"/>
      <c r="E101" s="3">
        <f>$A$3/($C$3*B101 + $D$3 *$E$3*C$99)</f>
        <v>411.72595520421612</v>
      </c>
      <c r="F101">
        <f>$C$3*B101*E101 +$D$3*E101*$E$3*C$99</f>
        <v>1000.0000000000002</v>
      </c>
      <c r="G101" s="1">
        <f t="shared" ref="G101:G141" si="32">C101^(-1-$H$3)*E101^(-1*$H$3)*$C$37^(-2-$H$3/2)</f>
        <v>0</v>
      </c>
      <c r="I101" s="3"/>
      <c r="J101" s="3"/>
      <c r="L101" s="3"/>
      <c r="M101" s="3"/>
      <c r="N101" s="3"/>
      <c r="O101" s="3"/>
    </row>
    <row r="102" spans="1:15">
      <c r="A102" s="1">
        <v>1</v>
      </c>
      <c r="B102" s="1">
        <f>A102^2</f>
        <v>1</v>
      </c>
      <c r="C102" s="1">
        <f>0.18*B102/16</f>
        <v>1.125E-2</v>
      </c>
      <c r="D102" s="1">
        <f>G102/F102</f>
        <v>4.7553950512614699E-4</v>
      </c>
      <c r="E102" s="3">
        <f>$A$3/($C$3*B102 + $D$3 *$E$3*C$99)</f>
        <v>400.67313085984455</v>
      </c>
      <c r="F102">
        <f>$C$3*B102*E102 +$D$3*E102*$E$3*C$99</f>
        <v>1000</v>
      </c>
      <c r="G102" s="1">
        <f t="shared" si="32"/>
        <v>0.47553950512614701</v>
      </c>
      <c r="I102" s="3">
        <f t="shared" si="22"/>
        <v>400.67313085984455</v>
      </c>
      <c r="J102" s="3"/>
      <c r="L102" s="3"/>
      <c r="M102" s="3"/>
      <c r="N102" s="3"/>
      <c r="O102" s="3"/>
    </row>
    <row r="103" spans="1:15">
      <c r="A103" s="1">
        <f>A102+1</f>
        <v>2</v>
      </c>
      <c r="B103" s="1">
        <f t="shared" ref="B103:B141" si="33">A103^2</f>
        <v>4</v>
      </c>
      <c r="C103" s="1">
        <f t="shared" ref="C103:C141" si="34">0.18*B103/16</f>
        <v>4.4999999999999998E-2</v>
      </c>
      <c r="D103" s="1">
        <f t="shared" ref="D103:D141" si="35">G103/F103</f>
        <v>8.4675575780103496E-4</v>
      </c>
      <c r="E103" s="3">
        <f t="shared" ref="E103:E141" si="36">$A$3/($C$3*B103 + $D$3 *$E$3*C$99)</f>
        <v>370.80984870958179</v>
      </c>
      <c r="F103">
        <f t="shared" ref="F103:F141" si="37">$C$3*B103*E103 +$D$3*E103*$E$3*C$99</f>
        <v>1000.0000000000002</v>
      </c>
      <c r="G103" s="1">
        <f t="shared" si="32"/>
        <v>0.84675575780103518</v>
      </c>
      <c r="I103" s="3">
        <f t="shared" si="22"/>
        <v>1483.2393948383271</v>
      </c>
      <c r="J103" s="3"/>
      <c r="L103" s="3"/>
      <c r="M103" s="3"/>
      <c r="N103" s="3"/>
      <c r="O103" s="3"/>
    </row>
    <row r="104" spans="1:15">
      <c r="A104" s="1">
        <f t="shared" ref="A104:A141" si="38">A103+1</f>
        <v>3</v>
      </c>
      <c r="B104" s="1">
        <f t="shared" si="33"/>
        <v>9</v>
      </c>
      <c r="C104" s="1">
        <f t="shared" si="34"/>
        <v>0.10124999999999999</v>
      </c>
      <c r="D104" s="1">
        <f t="shared" si="35"/>
        <v>1.0655447750815815E-3</v>
      </c>
      <c r="E104" s="3">
        <f t="shared" si="36"/>
        <v>329.83706049211696</v>
      </c>
      <c r="F104">
        <f t="shared" si="37"/>
        <v>1000.0000000000002</v>
      </c>
      <c r="G104" s="1">
        <f t="shared" si="32"/>
        <v>1.0655447750815816</v>
      </c>
      <c r="I104" s="3">
        <f t="shared" si="22"/>
        <v>2968.5335444290527</v>
      </c>
      <c r="J104" s="3"/>
      <c r="L104" s="3"/>
      <c r="M104" s="3"/>
      <c r="N104" s="3"/>
      <c r="O104" s="3"/>
    </row>
    <row r="105" spans="1:15">
      <c r="A105" s="1">
        <f t="shared" si="38"/>
        <v>4</v>
      </c>
      <c r="B105" s="1">
        <f t="shared" si="33"/>
        <v>16</v>
      </c>
      <c r="C105" s="1">
        <f t="shared" si="34"/>
        <v>0.18</v>
      </c>
      <c r="D105" s="1">
        <f t="shared" si="35"/>
        <v>1.145012724258597E-3</v>
      </c>
      <c r="E105" s="3">
        <f t="shared" si="36"/>
        <v>285.6489945155393</v>
      </c>
      <c r="F105">
        <f t="shared" si="37"/>
        <v>1000</v>
      </c>
      <c r="G105" s="1">
        <f t="shared" si="32"/>
        <v>1.145012724258597</v>
      </c>
      <c r="I105" s="3">
        <f t="shared" si="22"/>
        <v>4570.3839122486288</v>
      </c>
      <c r="J105" s="3"/>
      <c r="L105" s="3"/>
      <c r="M105" s="3"/>
      <c r="N105" s="3"/>
      <c r="O105" s="3"/>
    </row>
    <row r="106" spans="1:15">
      <c r="A106" s="1">
        <f t="shared" si="38"/>
        <v>5</v>
      </c>
      <c r="B106" s="1">
        <f t="shared" si="33"/>
        <v>25</v>
      </c>
      <c r="C106" s="1">
        <f t="shared" si="34"/>
        <v>0.28125</v>
      </c>
      <c r="D106" s="1">
        <f t="shared" si="35"/>
        <v>1.1276958850235594E-3</v>
      </c>
      <c r="E106" s="3">
        <f t="shared" si="36"/>
        <v>243.67659242653153</v>
      </c>
      <c r="F106">
        <f t="shared" si="37"/>
        <v>1000.0000000000002</v>
      </c>
      <c r="G106" s="1">
        <f t="shared" si="32"/>
        <v>1.1276958850235597</v>
      </c>
      <c r="I106" s="3">
        <f t="shared" si="22"/>
        <v>6091.9148106632883</v>
      </c>
      <c r="J106" s="3"/>
      <c r="L106" s="3"/>
      <c r="M106" s="3"/>
      <c r="N106" s="3"/>
      <c r="O106" s="3"/>
    </row>
    <row r="107" spans="1:15">
      <c r="A107" s="1">
        <f t="shared" si="38"/>
        <v>6</v>
      </c>
      <c r="B107" s="1">
        <f t="shared" si="33"/>
        <v>36</v>
      </c>
      <c r="C107" s="1">
        <f t="shared" si="34"/>
        <v>0.40499999999999997</v>
      </c>
      <c r="D107" s="1">
        <f t="shared" si="35"/>
        <v>1.0562745416963896E-3</v>
      </c>
      <c r="E107" s="3">
        <f t="shared" si="36"/>
        <v>206.57742521897208</v>
      </c>
      <c r="F107">
        <f t="shared" si="37"/>
        <v>1000</v>
      </c>
      <c r="G107" s="1">
        <f t="shared" si="32"/>
        <v>1.0562745416963897</v>
      </c>
      <c r="I107" s="3">
        <f t="shared" si="22"/>
        <v>7436.7873078829953</v>
      </c>
      <c r="J107" s="3"/>
      <c r="L107" s="3"/>
      <c r="M107" s="3"/>
      <c r="N107" s="3"/>
      <c r="O107" s="3"/>
    </row>
    <row r="108" spans="1:15">
      <c r="A108" s="1">
        <f t="shared" si="38"/>
        <v>7</v>
      </c>
      <c r="B108" s="1">
        <f t="shared" si="33"/>
        <v>49</v>
      </c>
      <c r="C108" s="1">
        <f t="shared" si="34"/>
        <v>0.55125000000000002</v>
      </c>
      <c r="D108" s="1">
        <f t="shared" si="35"/>
        <v>9.6147904606938821E-4</v>
      </c>
      <c r="E108" s="3">
        <f t="shared" si="36"/>
        <v>175.07615812878601</v>
      </c>
      <c r="F108">
        <f t="shared" si="37"/>
        <v>1000</v>
      </c>
      <c r="G108" s="1">
        <f t="shared" si="32"/>
        <v>0.96147904606938817</v>
      </c>
      <c r="I108" s="3">
        <f t="shared" si="22"/>
        <v>8578.7317483105144</v>
      </c>
      <c r="J108" s="3"/>
      <c r="L108" s="3"/>
      <c r="M108" s="3"/>
      <c r="N108" s="3"/>
      <c r="O108" s="3"/>
    </row>
    <row r="109" spans="1:15">
      <c r="A109" s="1">
        <f t="shared" si="38"/>
        <v>8</v>
      </c>
      <c r="B109" s="1">
        <f t="shared" si="33"/>
        <v>64</v>
      </c>
      <c r="C109" s="1">
        <f t="shared" si="34"/>
        <v>0.72</v>
      </c>
      <c r="D109" s="1">
        <f t="shared" si="35"/>
        <v>8.6168321586087629E-4</v>
      </c>
      <c r="E109" s="3">
        <f t="shared" si="36"/>
        <v>148.88041924726059</v>
      </c>
      <c r="F109">
        <f t="shared" si="37"/>
        <v>1000</v>
      </c>
      <c r="G109" s="1">
        <f t="shared" si="32"/>
        <v>0.86168321586087626</v>
      </c>
      <c r="I109" s="3">
        <f t="shared" si="22"/>
        <v>9528.3468318246778</v>
      </c>
      <c r="J109" s="3"/>
      <c r="L109" s="3"/>
      <c r="M109" s="3"/>
      <c r="N109" s="3"/>
      <c r="O109" s="3"/>
    </row>
    <row r="110" spans="1:15">
      <c r="A110" s="1">
        <f t="shared" si="38"/>
        <v>9</v>
      </c>
      <c r="B110" s="1">
        <f t="shared" si="33"/>
        <v>81</v>
      </c>
      <c r="C110" s="1">
        <f t="shared" si="34"/>
        <v>0.91125</v>
      </c>
      <c r="D110" s="1">
        <f t="shared" si="35"/>
        <v>7.6640469066181587E-4</v>
      </c>
      <c r="E110" s="3">
        <f t="shared" si="36"/>
        <v>127.2944830571043</v>
      </c>
      <c r="F110">
        <f t="shared" si="37"/>
        <v>1000</v>
      </c>
      <c r="G110" s="1">
        <f t="shared" si="32"/>
        <v>0.76640469066181582</v>
      </c>
      <c r="I110" s="3">
        <f t="shared" si="22"/>
        <v>10310.853127625449</v>
      </c>
      <c r="J110" s="3"/>
      <c r="L110" s="3"/>
      <c r="M110" s="3"/>
      <c r="N110" s="3"/>
      <c r="O110" s="3"/>
    </row>
    <row r="111" spans="1:15">
      <c r="A111" s="1">
        <f t="shared" si="38"/>
        <v>10</v>
      </c>
      <c r="B111" s="1">
        <f t="shared" si="33"/>
        <v>100</v>
      </c>
      <c r="C111" s="1">
        <f t="shared" si="34"/>
        <v>1.125</v>
      </c>
      <c r="D111" s="1">
        <f t="shared" si="35"/>
        <v>6.7979933204859058E-4</v>
      </c>
      <c r="E111" s="3">
        <f t="shared" si="36"/>
        <v>109.5434230128823</v>
      </c>
      <c r="F111">
        <f t="shared" si="37"/>
        <v>1000</v>
      </c>
      <c r="G111" s="1">
        <f t="shared" si="32"/>
        <v>0.67979933204859055</v>
      </c>
      <c r="I111" s="3">
        <f t="shared" si="22"/>
        <v>10954.34230128823</v>
      </c>
      <c r="J111" s="3"/>
      <c r="L111" s="3"/>
      <c r="M111" s="3"/>
      <c r="N111" s="3"/>
      <c r="O111" s="3"/>
    </row>
    <row r="112" spans="1:15">
      <c r="A112" s="1">
        <f t="shared" si="38"/>
        <v>11</v>
      </c>
      <c r="B112" s="1">
        <f t="shared" si="33"/>
        <v>121</v>
      </c>
      <c r="C112" s="1">
        <f t="shared" si="34"/>
        <v>1.3612499999999998</v>
      </c>
      <c r="D112" s="1">
        <f t="shared" si="35"/>
        <v>6.031046548395523E-4</v>
      </c>
      <c r="E112" s="3">
        <f t="shared" si="36"/>
        <v>94.914482051671428</v>
      </c>
      <c r="F112">
        <f t="shared" si="37"/>
        <v>1000</v>
      </c>
      <c r="G112" s="1">
        <f t="shared" si="32"/>
        <v>0.60310465483955233</v>
      </c>
      <c r="I112" s="3">
        <f t="shared" si="22"/>
        <v>11484.652328252243</v>
      </c>
      <c r="J112" s="3"/>
      <c r="L112" s="3"/>
      <c r="M112" s="3"/>
      <c r="N112" s="3"/>
      <c r="O112" s="3"/>
    </row>
    <row r="113" spans="1:15">
      <c r="A113" s="1">
        <f t="shared" si="38"/>
        <v>12</v>
      </c>
      <c r="B113" s="1">
        <f t="shared" si="33"/>
        <v>144</v>
      </c>
      <c r="C113" s="1">
        <f t="shared" si="34"/>
        <v>1.6199999999999999</v>
      </c>
      <c r="D113" s="1">
        <f t="shared" si="35"/>
        <v>5.3611098599758167E-4</v>
      </c>
      <c r="E113" s="3">
        <f t="shared" si="36"/>
        <v>82.803391626921055</v>
      </c>
      <c r="F113">
        <f t="shared" si="37"/>
        <v>1000.0000000000002</v>
      </c>
      <c r="G113" s="1">
        <f t="shared" si="32"/>
        <v>0.53611098599758178</v>
      </c>
      <c r="I113" s="3">
        <f t="shared" si="22"/>
        <v>11923.688394276633</v>
      </c>
      <c r="J113" s="3"/>
      <c r="L113" s="3"/>
      <c r="M113" s="3"/>
      <c r="N113" s="3"/>
      <c r="O113" s="3"/>
    </row>
    <row r="114" spans="1:15">
      <c r="A114" s="1">
        <f t="shared" si="38"/>
        <v>13</v>
      </c>
      <c r="B114" s="1">
        <f t="shared" si="33"/>
        <v>169</v>
      </c>
      <c r="C114" s="1">
        <f t="shared" si="34"/>
        <v>1.9012499999999999</v>
      </c>
      <c r="D114" s="1">
        <f t="shared" si="35"/>
        <v>4.7797513337613046E-4</v>
      </c>
      <c r="E114" s="3">
        <f t="shared" si="36"/>
        <v>72.717753312293667</v>
      </c>
      <c r="F114">
        <f t="shared" si="37"/>
        <v>1000.0000000000001</v>
      </c>
      <c r="G114" s="1">
        <f t="shared" si="32"/>
        <v>0.47797513337613051</v>
      </c>
      <c r="I114" s="3">
        <f t="shared" ref="I114:I141" si="39">E114*B114</f>
        <v>12289.300309777629</v>
      </c>
      <c r="J114" s="3"/>
      <c r="L114" s="3"/>
      <c r="M114" s="3"/>
      <c r="N114" s="3"/>
      <c r="O114" s="3"/>
    </row>
    <row r="115" spans="1:15">
      <c r="A115" s="1">
        <f t="shared" si="38"/>
        <v>14</v>
      </c>
      <c r="B115" s="1">
        <f t="shared" si="33"/>
        <v>196</v>
      </c>
      <c r="C115" s="1">
        <f t="shared" si="34"/>
        <v>2.2050000000000001</v>
      </c>
      <c r="D115" s="1">
        <f t="shared" si="35"/>
        <v>4.2764305802563872E-4</v>
      </c>
      <c r="E115" s="3">
        <f t="shared" si="36"/>
        <v>64.264048120919227</v>
      </c>
      <c r="F115">
        <f t="shared" si="37"/>
        <v>1000</v>
      </c>
      <c r="G115" s="1">
        <f t="shared" si="32"/>
        <v>0.42764305802563873</v>
      </c>
      <c r="I115" s="3">
        <f t="shared" si="39"/>
        <v>12595.753431700168</v>
      </c>
      <c r="J115" s="3"/>
      <c r="L115" s="3"/>
      <c r="M115" s="3"/>
      <c r="N115" s="3"/>
      <c r="O115" s="3"/>
    </row>
    <row r="116" spans="1:15">
      <c r="A116" s="1">
        <f t="shared" si="38"/>
        <v>15</v>
      </c>
      <c r="B116" s="1">
        <f t="shared" si="33"/>
        <v>225</v>
      </c>
      <c r="C116" s="1">
        <f t="shared" si="34"/>
        <v>2.53125</v>
      </c>
      <c r="D116" s="1">
        <f t="shared" si="35"/>
        <v>3.8405552526734249E-4</v>
      </c>
      <c r="E116" s="3">
        <f t="shared" si="36"/>
        <v>57.130451673350926</v>
      </c>
      <c r="F116">
        <f t="shared" si="37"/>
        <v>1000</v>
      </c>
      <c r="G116" s="1">
        <f t="shared" si="32"/>
        <v>0.38405552526734249</v>
      </c>
      <c r="I116" s="3">
        <f t="shared" si="39"/>
        <v>12854.351626503958</v>
      </c>
      <c r="J116" s="3"/>
      <c r="L116" s="3"/>
      <c r="M116" s="3"/>
      <c r="N116" s="3"/>
      <c r="O116" s="3"/>
    </row>
    <row r="117" spans="1:15">
      <c r="A117" s="1">
        <f t="shared" si="38"/>
        <v>16</v>
      </c>
      <c r="B117" s="1">
        <f t="shared" si="33"/>
        <v>256</v>
      </c>
      <c r="C117" s="1">
        <f t="shared" si="34"/>
        <v>2.88</v>
      </c>
      <c r="D117" s="1">
        <f t="shared" si="35"/>
        <v>3.462386991777609E-4</v>
      </c>
      <c r="E117" s="3">
        <f t="shared" si="36"/>
        <v>51.07043634580814</v>
      </c>
      <c r="F117">
        <f t="shared" si="37"/>
        <v>1000</v>
      </c>
      <c r="G117" s="1">
        <f t="shared" si="32"/>
        <v>0.3462386991777609</v>
      </c>
      <c r="I117" s="3">
        <f t="shared" si="39"/>
        <v>13074.031704526884</v>
      </c>
      <c r="J117" s="3"/>
      <c r="L117" s="3"/>
      <c r="M117" s="3"/>
      <c r="N117" s="3"/>
      <c r="O117" s="3"/>
    </row>
    <row r="118" spans="1:15">
      <c r="A118" s="1">
        <f t="shared" si="38"/>
        <v>17</v>
      </c>
      <c r="B118" s="1">
        <f t="shared" si="33"/>
        <v>289</v>
      </c>
      <c r="C118" s="1">
        <f t="shared" si="34"/>
        <v>3.2512499999999998</v>
      </c>
      <c r="D118" s="1">
        <f t="shared" si="35"/>
        <v>3.1333617449531576E-4</v>
      </c>
      <c r="E118" s="3">
        <f t="shared" si="36"/>
        <v>45.888820565533827</v>
      </c>
      <c r="F118">
        <f t="shared" si="37"/>
        <v>1000</v>
      </c>
      <c r="G118" s="1">
        <f t="shared" si="32"/>
        <v>0.31333617449531576</v>
      </c>
      <c r="I118" s="3">
        <f t="shared" si="39"/>
        <v>13261.869143439277</v>
      </c>
      <c r="J118" s="3"/>
      <c r="L118" s="3"/>
      <c r="M118" s="3"/>
      <c r="N118" s="3"/>
      <c r="O118" s="3"/>
    </row>
    <row r="119" spans="1:15">
      <c r="A119" s="1">
        <f t="shared" si="38"/>
        <v>18</v>
      </c>
      <c r="B119" s="1">
        <f t="shared" si="33"/>
        <v>324</v>
      </c>
      <c r="C119" s="1">
        <f t="shared" si="34"/>
        <v>3.645</v>
      </c>
      <c r="D119" s="1">
        <f t="shared" si="35"/>
        <v>2.8461267648599722E-4</v>
      </c>
      <c r="E119" s="3">
        <f t="shared" si="36"/>
        <v>41.430512744025719</v>
      </c>
      <c r="F119">
        <f t="shared" si="37"/>
        <v>1000.0000000000001</v>
      </c>
      <c r="G119" s="1">
        <f t="shared" si="32"/>
        <v>0.28461267648599725</v>
      </c>
      <c r="I119" s="3">
        <f t="shared" si="39"/>
        <v>13423.486129064333</v>
      </c>
      <c r="J119" s="3"/>
      <c r="L119" s="3"/>
      <c r="M119" s="3"/>
      <c r="N119" s="3"/>
      <c r="O119" s="3"/>
    </row>
    <row r="120" spans="1:15">
      <c r="A120" s="1">
        <f t="shared" si="38"/>
        <v>19</v>
      </c>
      <c r="B120" s="1">
        <f t="shared" si="33"/>
        <v>361</v>
      </c>
      <c r="C120" s="1">
        <f t="shared" si="34"/>
        <v>4.0612500000000002</v>
      </c>
      <c r="D120" s="1">
        <f t="shared" si="35"/>
        <v>2.5944516782532614E-4</v>
      </c>
      <c r="E120" s="3">
        <f t="shared" si="36"/>
        <v>37.571667956627266</v>
      </c>
      <c r="F120">
        <f t="shared" si="37"/>
        <v>1000</v>
      </c>
      <c r="G120" s="1">
        <f t="shared" si="32"/>
        <v>0.25944516782532612</v>
      </c>
      <c r="I120" s="3">
        <f t="shared" si="39"/>
        <v>13563.372132342443</v>
      </c>
      <c r="J120" s="3"/>
      <c r="L120" s="3"/>
      <c r="M120" s="3"/>
      <c r="N120" s="3"/>
      <c r="O120" s="3"/>
    </row>
    <row r="121" spans="1:15">
      <c r="A121" s="1">
        <f t="shared" si="38"/>
        <v>20</v>
      </c>
      <c r="B121" s="1">
        <f t="shared" si="33"/>
        <v>400</v>
      </c>
      <c r="C121" s="1">
        <f t="shared" si="34"/>
        <v>4.5</v>
      </c>
      <c r="D121" s="1">
        <f t="shared" si="35"/>
        <v>2.3730931697577844E-4</v>
      </c>
      <c r="E121" s="3">
        <f t="shared" si="36"/>
        <v>34.212831180205825</v>
      </c>
      <c r="F121">
        <f t="shared" si="37"/>
        <v>1000.0000000000001</v>
      </c>
      <c r="G121" s="1">
        <f t="shared" si="32"/>
        <v>0.23730931697577848</v>
      </c>
      <c r="I121" s="3">
        <f t="shared" si="39"/>
        <v>13685.13247208233</v>
      </c>
      <c r="J121" s="3"/>
      <c r="L121" s="3"/>
      <c r="M121" s="3"/>
      <c r="N121" s="3"/>
      <c r="O121" s="3"/>
    </row>
    <row r="122" spans="1:15">
      <c r="A122" s="1">
        <f t="shared" si="38"/>
        <v>21</v>
      </c>
      <c r="B122" s="1">
        <f t="shared" si="33"/>
        <v>441</v>
      </c>
      <c r="C122" s="1">
        <f t="shared" si="34"/>
        <v>4.9612499999999997</v>
      </c>
      <c r="D122" s="1">
        <f t="shared" si="35"/>
        <v>2.1776517995729632E-4</v>
      </c>
      <c r="E122" s="3">
        <f t="shared" si="36"/>
        <v>31.273650698340621</v>
      </c>
      <c r="F122">
        <f t="shared" si="37"/>
        <v>1000.0000000000001</v>
      </c>
      <c r="G122" s="1">
        <f t="shared" si="32"/>
        <v>0.21776517995729636</v>
      </c>
      <c r="I122" s="3">
        <f t="shared" si="39"/>
        <v>13791.679957968214</v>
      </c>
      <c r="J122" s="3"/>
      <c r="L122" s="3"/>
      <c r="M122" s="3"/>
      <c r="N122" s="3"/>
      <c r="O122" s="3"/>
    </row>
    <row r="123" spans="1:15">
      <c r="A123" s="1">
        <f t="shared" si="38"/>
        <v>22</v>
      </c>
      <c r="B123" s="1">
        <f t="shared" si="33"/>
        <v>484</v>
      </c>
      <c r="C123" s="1">
        <f t="shared" si="34"/>
        <v>5.4449999999999994</v>
      </c>
      <c r="D123" s="1">
        <f t="shared" si="35"/>
        <v>2.0044382472942263E-4</v>
      </c>
      <c r="E123" s="3">
        <f t="shared" si="36"/>
        <v>28.688806775148603</v>
      </c>
      <c r="F123">
        <f t="shared" si="37"/>
        <v>999.99999999999989</v>
      </c>
      <c r="G123" s="1">
        <f t="shared" si="32"/>
        <v>0.2004438247294226</v>
      </c>
      <c r="I123" s="3">
        <f t="shared" si="39"/>
        <v>13885.382479171923</v>
      </c>
      <c r="J123" s="3"/>
      <c r="L123" s="3"/>
      <c r="M123" s="3"/>
      <c r="N123" s="3"/>
      <c r="O123" s="3"/>
    </row>
    <row r="124" spans="1:15">
      <c r="A124" s="1">
        <f t="shared" si="38"/>
        <v>23</v>
      </c>
      <c r="B124" s="1">
        <f t="shared" si="33"/>
        <v>529</v>
      </c>
      <c r="C124" s="1">
        <f t="shared" si="34"/>
        <v>5.9512499999999999</v>
      </c>
      <c r="D124" s="1">
        <f t="shared" si="35"/>
        <v>1.8503555515082557E-4</v>
      </c>
      <c r="E124" s="3">
        <f t="shared" si="36"/>
        <v>26.404871170633552</v>
      </c>
      <c r="F124">
        <f t="shared" si="37"/>
        <v>999.99999999999989</v>
      </c>
      <c r="G124" s="1">
        <f t="shared" si="32"/>
        <v>0.18503555515082554</v>
      </c>
      <c r="I124" s="3">
        <f t="shared" si="39"/>
        <v>13968.176849265148</v>
      </c>
      <c r="J124" s="3"/>
      <c r="L124" s="3"/>
      <c r="M124" s="3"/>
      <c r="N124" s="3"/>
      <c r="O124" s="3"/>
    </row>
    <row r="125" spans="1:15">
      <c r="A125" s="1">
        <f t="shared" si="38"/>
        <v>24</v>
      </c>
      <c r="B125" s="1">
        <f t="shared" si="33"/>
        <v>576</v>
      </c>
      <c r="C125" s="1">
        <f t="shared" si="34"/>
        <v>6.4799999999999995</v>
      </c>
      <c r="D125" s="1">
        <f t="shared" si="35"/>
        <v>1.7127987012998869E-4</v>
      </c>
      <c r="E125" s="3">
        <f t="shared" si="36"/>
        <v>24.377876589437552</v>
      </c>
      <c r="F125">
        <f t="shared" si="37"/>
        <v>999.99999999999989</v>
      </c>
      <c r="G125" s="1">
        <f t="shared" si="32"/>
        <v>0.17127987012998866</v>
      </c>
      <c r="I125" s="3">
        <f t="shared" si="39"/>
        <v>14041.65691551603</v>
      </c>
      <c r="J125" s="3"/>
      <c r="L125" s="3"/>
      <c r="M125" s="3"/>
      <c r="N125" s="3"/>
      <c r="O125" s="3"/>
    </row>
    <row r="126" spans="1:15">
      <c r="A126" s="1">
        <f t="shared" si="38"/>
        <v>25</v>
      </c>
      <c r="B126" s="1">
        <f t="shared" si="33"/>
        <v>625</v>
      </c>
      <c r="C126" s="1">
        <f t="shared" si="34"/>
        <v>7.03125</v>
      </c>
      <c r="D126" s="1">
        <f t="shared" si="35"/>
        <v>1.589570571688324E-4</v>
      </c>
      <c r="E126" s="3">
        <f t="shared" si="36"/>
        <v>22.571427281632726</v>
      </c>
      <c r="F126">
        <f t="shared" si="37"/>
        <v>999.99999999999989</v>
      </c>
      <c r="G126" s="1">
        <f t="shared" si="32"/>
        <v>0.15895705716883238</v>
      </c>
      <c r="I126" s="3">
        <f t="shared" si="39"/>
        <v>14107.142051020453</v>
      </c>
      <c r="J126" s="3"/>
      <c r="L126" s="3"/>
      <c r="M126" s="3"/>
      <c r="N126" s="3"/>
      <c r="O126" s="3"/>
    </row>
    <row r="127" spans="1:15">
      <c r="A127" s="1">
        <f t="shared" si="38"/>
        <v>26</v>
      </c>
      <c r="B127" s="1">
        <f t="shared" si="33"/>
        <v>676</v>
      </c>
      <c r="C127" s="1">
        <f t="shared" si="34"/>
        <v>7.6049999999999995</v>
      </c>
      <c r="D127" s="1">
        <f t="shared" si="35"/>
        <v>1.4788122741423305E-4</v>
      </c>
      <c r="E127" s="3">
        <f t="shared" si="36"/>
        <v>20.955222879750547</v>
      </c>
      <c r="F127">
        <f t="shared" si="37"/>
        <v>999.99999999999989</v>
      </c>
      <c r="G127" s="1">
        <f t="shared" si="32"/>
        <v>0.14788122741423304</v>
      </c>
      <c r="I127" s="3">
        <f t="shared" si="39"/>
        <v>14165.73066671137</v>
      </c>
      <c r="J127" s="3"/>
      <c r="L127" s="3"/>
      <c r="M127" s="3"/>
      <c r="N127" s="3"/>
      <c r="O127" s="3"/>
    </row>
    <row r="128" spans="1:15">
      <c r="A128" s="1">
        <f t="shared" si="38"/>
        <v>27</v>
      </c>
      <c r="B128" s="1">
        <f t="shared" si="33"/>
        <v>729</v>
      </c>
      <c r="C128" s="1">
        <f t="shared" si="34"/>
        <v>8.2012499999999999</v>
      </c>
      <c r="D128" s="1">
        <f t="shared" si="35"/>
        <v>1.3789457780481667E-4</v>
      </c>
      <c r="E128" s="3">
        <f t="shared" si="36"/>
        <v>19.503898829375991</v>
      </c>
      <c r="F128">
        <f t="shared" si="37"/>
        <v>1000</v>
      </c>
      <c r="G128" s="1">
        <f t="shared" si="32"/>
        <v>0.13789457780481668</v>
      </c>
      <c r="I128" s="3">
        <f t="shared" si="39"/>
        <v>14218.342246615097</v>
      </c>
      <c r="J128" s="3"/>
      <c r="L128" s="3"/>
      <c r="M128" s="3"/>
      <c r="N128" s="3"/>
      <c r="O128" s="3"/>
    </row>
    <row r="129" spans="1:15">
      <c r="A129" s="1">
        <f t="shared" si="38"/>
        <v>28</v>
      </c>
      <c r="B129" s="1">
        <f t="shared" si="33"/>
        <v>784</v>
      </c>
      <c r="C129" s="1">
        <f t="shared" si="34"/>
        <v>8.82</v>
      </c>
      <c r="D129" s="1">
        <f t="shared" si="35"/>
        <v>1.28862676680048E-4</v>
      </c>
      <c r="E129" s="3">
        <f t="shared" si="36"/>
        <v>18.196110399441014</v>
      </c>
      <c r="F129">
        <f t="shared" si="37"/>
        <v>1000</v>
      </c>
      <c r="G129" s="1">
        <f t="shared" si="32"/>
        <v>0.128862676680048</v>
      </c>
      <c r="I129" s="3">
        <f t="shared" si="39"/>
        <v>14265.750553161755</v>
      </c>
      <c r="J129" s="3"/>
      <c r="L129" s="3"/>
      <c r="M129" s="3"/>
      <c r="N129" s="3"/>
      <c r="O129" s="3"/>
    </row>
    <row r="130" spans="1:15">
      <c r="A130" s="1">
        <f t="shared" si="38"/>
        <v>29</v>
      </c>
      <c r="B130" s="1">
        <f t="shared" si="33"/>
        <v>841</v>
      </c>
      <c r="C130" s="1">
        <f t="shared" si="34"/>
        <v>9.4612499999999997</v>
      </c>
      <c r="D130" s="1">
        <f t="shared" si="35"/>
        <v>1.2067059284849971E-4</v>
      </c>
      <c r="E130" s="3">
        <f t="shared" si="36"/>
        <v>17.013805001378117</v>
      </c>
      <c r="F130">
        <f t="shared" si="37"/>
        <v>999.99999999999989</v>
      </c>
      <c r="G130" s="1">
        <f t="shared" si="32"/>
        <v>0.12067059284849969</v>
      </c>
      <c r="I130" s="3">
        <f t="shared" si="39"/>
        <v>14308.610006158997</v>
      </c>
      <c r="J130" s="3"/>
      <c r="L130" s="3"/>
      <c r="M130" s="3"/>
      <c r="N130" s="3"/>
      <c r="O130" s="3"/>
    </row>
    <row r="131" spans="1:15">
      <c r="A131" s="1">
        <f t="shared" si="38"/>
        <v>30</v>
      </c>
      <c r="B131" s="1">
        <f t="shared" si="33"/>
        <v>900</v>
      </c>
      <c r="C131" s="1">
        <f t="shared" si="34"/>
        <v>10.125</v>
      </c>
      <c r="D131" s="1">
        <f t="shared" si="35"/>
        <v>1.1321971502270051E-4</v>
      </c>
      <c r="E131" s="3">
        <f t="shared" si="36"/>
        <v>15.941640841208502</v>
      </c>
      <c r="F131">
        <f t="shared" si="37"/>
        <v>999.99999999999989</v>
      </c>
      <c r="G131" s="1">
        <f t="shared" si="32"/>
        <v>0.11321971502270051</v>
      </c>
      <c r="I131" s="3">
        <f t="shared" si="39"/>
        <v>14347.476757087652</v>
      </c>
      <c r="J131" s="3"/>
      <c r="L131" s="3"/>
      <c r="M131" s="3"/>
      <c r="N131" s="3"/>
      <c r="O131" s="3"/>
    </row>
    <row r="132" spans="1:15">
      <c r="A132" s="1">
        <f t="shared" si="38"/>
        <v>31</v>
      </c>
      <c r="B132" s="1">
        <f t="shared" si="33"/>
        <v>961</v>
      </c>
      <c r="C132" s="1">
        <f t="shared" si="34"/>
        <v>10.811249999999999</v>
      </c>
      <c r="D132" s="1">
        <f t="shared" si="35"/>
        <v>1.0642513429720823E-4</v>
      </c>
      <c r="E132" s="3">
        <f t="shared" si="36"/>
        <v>14.966519894994898</v>
      </c>
      <c r="F132">
        <f t="shared" si="37"/>
        <v>1000</v>
      </c>
      <c r="G132" s="1">
        <f t="shared" si="32"/>
        <v>0.10642513429720822</v>
      </c>
      <c r="I132" s="3">
        <f t="shared" si="39"/>
        <v>14382.825619090097</v>
      </c>
      <c r="J132" s="3"/>
      <c r="L132" s="3"/>
      <c r="M132" s="3"/>
      <c r="N132" s="3"/>
      <c r="O132" s="3"/>
    </row>
    <row r="133" spans="1:15">
      <c r="A133" s="1">
        <f t="shared" si="38"/>
        <v>32</v>
      </c>
      <c r="B133" s="1">
        <f t="shared" si="33"/>
        <v>1024</v>
      </c>
      <c r="C133" s="1">
        <f t="shared" si="34"/>
        <v>11.52</v>
      </c>
      <c r="D133" s="1">
        <f t="shared" si="35"/>
        <v>1.0021348518377877E-4</v>
      </c>
      <c r="E133" s="3">
        <f t="shared" si="36"/>
        <v>14.077210685165998</v>
      </c>
      <c r="F133">
        <f t="shared" si="37"/>
        <v>1000</v>
      </c>
      <c r="G133" s="1">
        <f t="shared" si="32"/>
        <v>0.10021348518377877</v>
      </c>
      <c r="I133" s="3">
        <f t="shared" si="39"/>
        <v>14415.063741609982</v>
      </c>
      <c r="J133" s="3"/>
      <c r="L133" s="3"/>
      <c r="M133" s="3"/>
      <c r="N133" s="3"/>
      <c r="O133" s="3"/>
    </row>
    <row r="134" spans="1:15">
      <c r="A134" s="1">
        <f t="shared" si="38"/>
        <v>33</v>
      </c>
      <c r="B134" s="1">
        <f t="shared" si="33"/>
        <v>1089</v>
      </c>
      <c r="C134" s="1">
        <f t="shared" si="34"/>
        <v>12.251249999999999</v>
      </c>
      <c r="D134" s="1">
        <f t="shared" si="35"/>
        <v>9.4521160133879178E-5</v>
      </c>
      <c r="E134" s="3">
        <f t="shared" si="36"/>
        <v>13.264041978040051</v>
      </c>
      <c r="F134">
        <f t="shared" si="37"/>
        <v>1000</v>
      </c>
      <c r="G134" s="1">
        <f t="shared" si="32"/>
        <v>9.4521160133879178E-2</v>
      </c>
      <c r="I134" s="3">
        <f t="shared" si="39"/>
        <v>14444.541714085615</v>
      </c>
      <c r="J134" s="3"/>
      <c r="L134" s="3"/>
      <c r="M134" s="3"/>
      <c r="N134" s="3"/>
      <c r="O134" s="3"/>
    </row>
    <row r="135" spans="1:15">
      <c r="A135" s="1">
        <f t="shared" si="38"/>
        <v>34</v>
      </c>
      <c r="B135" s="1">
        <f t="shared" si="33"/>
        <v>1156</v>
      </c>
      <c r="C135" s="1">
        <f t="shared" si="34"/>
        <v>13.004999999999999</v>
      </c>
      <c r="D135" s="1">
        <f t="shared" si="35"/>
        <v>8.9292828592311502E-5</v>
      </c>
      <c r="E135" s="3">
        <f t="shared" si="36"/>
        <v>12.518652792661065</v>
      </c>
      <c r="F135">
        <f t="shared" si="37"/>
        <v>999.99999999999989</v>
      </c>
      <c r="G135" s="1">
        <f t="shared" si="32"/>
        <v>8.9292828592311496E-2</v>
      </c>
      <c r="I135" s="3">
        <f t="shared" si="39"/>
        <v>14471.562628316191</v>
      </c>
      <c r="J135" s="3"/>
      <c r="L135" s="3"/>
      <c r="M135" s="3"/>
      <c r="N135" s="3"/>
      <c r="O135" s="3"/>
    </row>
    <row r="136" spans="1:15">
      <c r="A136" s="1">
        <f t="shared" si="38"/>
        <v>35</v>
      </c>
      <c r="B136" s="1">
        <f t="shared" si="33"/>
        <v>1225</v>
      </c>
      <c r="C136" s="1">
        <f t="shared" si="34"/>
        <v>13.78125</v>
      </c>
      <c r="D136" s="1">
        <f t="shared" si="35"/>
        <v>8.448020480398767E-5</v>
      </c>
      <c r="E136" s="3">
        <f t="shared" si="36"/>
        <v>11.833787356308237</v>
      </c>
      <c r="F136">
        <f t="shared" si="37"/>
        <v>1000.0000000000001</v>
      </c>
      <c r="G136" s="1">
        <f t="shared" si="32"/>
        <v>8.4480204803987685E-2</v>
      </c>
      <c r="I136" s="3">
        <f t="shared" si="39"/>
        <v>14496.389511477591</v>
      </c>
      <c r="J136" s="3"/>
      <c r="L136" s="3"/>
      <c r="M136" s="3"/>
      <c r="N136" s="3"/>
      <c r="O136" s="3"/>
    </row>
    <row r="137" spans="1:15">
      <c r="A137" s="1">
        <f t="shared" si="38"/>
        <v>36</v>
      </c>
      <c r="B137" s="1">
        <f t="shared" si="33"/>
        <v>1296</v>
      </c>
      <c r="C137" s="1">
        <f t="shared" si="34"/>
        <v>14.58</v>
      </c>
      <c r="D137" s="1">
        <f t="shared" si="35"/>
        <v>8.0041019278416335E-5</v>
      </c>
      <c r="E137" s="3">
        <f t="shared" si="36"/>
        <v>11.203126120312612</v>
      </c>
      <c r="F137">
        <f t="shared" si="37"/>
        <v>1000.0000000000001</v>
      </c>
      <c r="G137" s="1">
        <f t="shared" si="32"/>
        <v>8.004101927841635E-2</v>
      </c>
      <c r="I137" s="3">
        <f t="shared" si="39"/>
        <v>14519.251451925145</v>
      </c>
      <c r="J137" s="3"/>
      <c r="L137" s="3"/>
      <c r="M137" s="3"/>
      <c r="N137" s="3"/>
      <c r="O137" s="3"/>
    </row>
    <row r="138" spans="1:15">
      <c r="A138" s="1">
        <f t="shared" si="38"/>
        <v>37</v>
      </c>
      <c r="B138" s="1">
        <f t="shared" si="33"/>
        <v>1369</v>
      </c>
      <c r="C138" s="1">
        <f t="shared" si="34"/>
        <v>15.401249999999999</v>
      </c>
      <c r="D138" s="1">
        <f t="shared" si="35"/>
        <v>7.593815743108369E-5</v>
      </c>
      <c r="E138" s="3">
        <f t="shared" si="36"/>
        <v>10.621145851699065</v>
      </c>
      <c r="F138">
        <f t="shared" si="37"/>
        <v>1000</v>
      </c>
      <c r="G138" s="1">
        <f t="shared" si="32"/>
        <v>7.5938157431083689E-2</v>
      </c>
      <c r="I138" s="3">
        <f t="shared" si="39"/>
        <v>14540.34867097602</v>
      </c>
      <c r="J138" s="3"/>
      <c r="L138" s="3"/>
      <c r="M138" s="3"/>
      <c r="N138" s="3"/>
      <c r="O138" s="3"/>
    </row>
    <row r="139" spans="1:15">
      <c r="A139" s="1">
        <f t="shared" si="38"/>
        <v>38</v>
      </c>
      <c r="B139" s="1">
        <f t="shared" si="33"/>
        <v>1444</v>
      </c>
      <c r="C139" s="1">
        <f t="shared" si="34"/>
        <v>16.245000000000001</v>
      </c>
      <c r="D139" s="1">
        <f t="shared" si="35"/>
        <v>7.2138935848994375E-5</v>
      </c>
      <c r="E139" s="3">
        <f t="shared" si="36"/>
        <v>10.083003283025869</v>
      </c>
      <c r="F139">
        <f t="shared" si="37"/>
        <v>1000.0000000000001</v>
      </c>
      <c r="G139" s="1">
        <f t="shared" si="32"/>
        <v>7.2138935848994376E-2</v>
      </c>
      <c r="I139" s="3">
        <f t="shared" si="39"/>
        <v>14559.856740689354</v>
      </c>
      <c r="J139" s="3"/>
      <c r="L139" s="3"/>
      <c r="M139" s="3"/>
      <c r="N139" s="3"/>
      <c r="O139" s="3"/>
    </row>
    <row r="140" spans="1:15">
      <c r="A140" s="1">
        <f t="shared" si="38"/>
        <v>39</v>
      </c>
      <c r="B140" s="1">
        <f t="shared" si="33"/>
        <v>1521</v>
      </c>
      <c r="C140" s="1">
        <f t="shared" si="34"/>
        <v>17.111249999999998</v>
      </c>
      <c r="D140" s="1">
        <f t="shared" si="35"/>
        <v>6.8614492193579951E-5</v>
      </c>
      <c r="E140" s="3">
        <f t="shared" si="36"/>
        <v>9.5844379398058948</v>
      </c>
      <c r="F140">
        <f t="shared" si="37"/>
        <v>1000</v>
      </c>
      <c r="G140" s="1">
        <f t="shared" si="32"/>
        <v>6.8614492193579957E-2</v>
      </c>
      <c r="I140" s="3">
        <f t="shared" si="39"/>
        <v>14577.930106444766</v>
      </c>
      <c r="J140" s="3"/>
      <c r="L140" s="3"/>
      <c r="M140" s="3"/>
      <c r="N140" s="3"/>
      <c r="O140" s="3"/>
    </row>
    <row r="141" spans="1:15">
      <c r="A141" s="1">
        <f t="shared" si="38"/>
        <v>40</v>
      </c>
      <c r="B141" s="1">
        <f t="shared" si="33"/>
        <v>1600</v>
      </c>
      <c r="C141" s="1">
        <f t="shared" si="34"/>
        <v>18</v>
      </c>
      <c r="D141" s="1">
        <f t="shared" si="35"/>
        <v>6.5339269226443581E-5</v>
      </c>
      <c r="E141" s="3">
        <f t="shared" si="36"/>
        <v>9.1216906506319511</v>
      </c>
      <c r="F141">
        <f t="shared" si="37"/>
        <v>1000</v>
      </c>
      <c r="G141" s="1">
        <f t="shared" si="32"/>
        <v>6.5339269226443578E-2</v>
      </c>
      <c r="I141" s="3">
        <f t="shared" si="39"/>
        <v>14594.705041011122</v>
      </c>
      <c r="J141" s="3"/>
      <c r="L141" s="3"/>
      <c r="M141" s="3"/>
      <c r="N141" s="3"/>
      <c r="O141" s="3"/>
    </row>
    <row r="142" spans="1:15">
      <c r="E142" s="3"/>
      <c r="I142" s="3"/>
      <c r="J142" s="3"/>
      <c r="L142" s="3"/>
      <c r="M142" s="3"/>
      <c r="N142" s="3"/>
      <c r="O142" s="3"/>
    </row>
    <row r="143" spans="1:15">
      <c r="E143" s="3"/>
      <c r="I143" s="3"/>
      <c r="J143" s="3"/>
      <c r="L143" s="3"/>
      <c r="M143" s="3"/>
      <c r="N143" s="3"/>
      <c r="O143" s="3"/>
    </row>
    <row r="144" spans="1:15">
      <c r="E144" s="3"/>
      <c r="I144" s="3"/>
      <c r="J144" s="3"/>
      <c r="L144" s="3"/>
      <c r="M144" s="3"/>
      <c r="N144" s="3"/>
      <c r="O144" s="3"/>
    </row>
    <row r="145" spans="1:15">
      <c r="E145" s="3"/>
      <c r="I145" s="3"/>
      <c r="J145" s="3"/>
      <c r="L145" s="3"/>
      <c r="M145" s="3"/>
      <c r="N145" s="3"/>
      <c r="O145" s="3"/>
    </row>
    <row r="146" spans="1:15">
      <c r="E146" s="3"/>
      <c r="I146" s="3"/>
      <c r="J146" s="3"/>
      <c r="L146" s="3"/>
      <c r="M146" s="3"/>
      <c r="N146" s="3"/>
      <c r="O146" s="3"/>
    </row>
    <row r="147" spans="1:15">
      <c r="E147" s="3"/>
      <c r="I147" s="3"/>
      <c r="J147" s="3"/>
      <c r="L147" s="3"/>
      <c r="M147" s="3"/>
      <c r="N147" s="3"/>
      <c r="O147" s="3"/>
    </row>
    <row r="148" spans="1:15">
      <c r="E148" s="3"/>
      <c r="I148" s="3"/>
      <c r="J148" s="3"/>
      <c r="L148" s="3"/>
      <c r="M148" s="3"/>
      <c r="N148" s="3"/>
      <c r="O148" s="3"/>
    </row>
    <row r="149" spans="1:15">
      <c r="A149" t="s">
        <v>10</v>
      </c>
      <c r="E149" s="3"/>
      <c r="I149" s="3"/>
      <c r="J149" s="3"/>
      <c r="L149" s="3"/>
      <c r="M149" s="3"/>
      <c r="N149" s="3"/>
      <c r="O149" s="3"/>
    </row>
    <row r="150" spans="1:15">
      <c r="A150" t="s">
        <v>11</v>
      </c>
      <c r="B150">
        <v>400</v>
      </c>
      <c r="E150" s="3"/>
      <c r="I150" s="3"/>
      <c r="J150" s="3"/>
      <c r="L150" s="3"/>
      <c r="M150" s="3"/>
      <c r="N150" s="3"/>
      <c r="O150" s="3"/>
    </row>
    <row r="151" spans="1:15">
      <c r="C151" s="3"/>
      <c r="D151" s="3"/>
      <c r="E151" s="3"/>
      <c r="I151" s="3"/>
      <c r="J151" s="3"/>
      <c r="L151" s="3"/>
      <c r="M151" s="3"/>
      <c r="N151" s="3"/>
      <c r="O151" s="3"/>
    </row>
    <row r="152" spans="1:15">
      <c r="A152" t="s">
        <v>9</v>
      </c>
      <c r="B152" t="s">
        <v>13</v>
      </c>
      <c r="C152" t="s">
        <v>14</v>
      </c>
      <c r="D152" s="3" t="s">
        <v>3</v>
      </c>
      <c r="E152" s="1" t="s">
        <v>1</v>
      </c>
      <c r="F152" s="3" t="s">
        <v>4</v>
      </c>
      <c r="G152" s="3" t="s">
        <v>5</v>
      </c>
      <c r="I152" s="3"/>
      <c r="J152" s="3"/>
      <c r="L152" s="3"/>
      <c r="M152" s="3"/>
      <c r="N152" s="3"/>
      <c r="O152" s="3"/>
    </row>
    <row r="153" spans="1:15">
      <c r="A153">
        <v>0</v>
      </c>
      <c r="B153">
        <f>A153*A153</f>
        <v>0</v>
      </c>
      <c r="C153">
        <f>0.017*B153</f>
        <v>0</v>
      </c>
      <c r="D153" s="3">
        <f>$A$3/($C$3*B153 + $G$3 * $E$3 *$B$150)</f>
        <v>3293.807641633729</v>
      </c>
      <c r="E153">
        <f>$C$3*D153*B39 +$G$3*0.66*400*D153</f>
        <v>1000</v>
      </c>
      <c r="F153" s="3">
        <f>C153^(-1-$H$3)*D153^(-1*$H$3)*$B$150^(-2-$H$3/2)</f>
        <v>0</v>
      </c>
      <c r="G153" s="3"/>
      <c r="I153" s="3"/>
      <c r="J153" s="3"/>
      <c r="L153" s="3"/>
      <c r="M153" s="3"/>
      <c r="N153" s="3"/>
      <c r="O153" s="3"/>
    </row>
    <row r="154" spans="1:15">
      <c r="A154">
        <f>A153+1</f>
        <v>1</v>
      </c>
      <c r="B154">
        <f t="shared" ref="B154:B185" si="40">A154*A154</f>
        <v>1</v>
      </c>
      <c r="C154">
        <f>0.18*B154</f>
        <v>0.18</v>
      </c>
      <c r="D154" s="3">
        <f>$A$3/($C$3*B154 + $G$3 * $E$3 *$B$150)</f>
        <v>2698.3270372369134</v>
      </c>
      <c r="E154">
        <f>$C$3*D154*B154 +$G$3*0.66*400*D154</f>
        <v>1000.0000000000001</v>
      </c>
      <c r="F154" s="3">
        <f t="shared" ref="F154:F185" si="41">C154^(-1-$H$3)*D154^(-1*$H$3)*$B$150^(-2-$H$3/2)</f>
        <v>33.243224378251362</v>
      </c>
      <c r="G154" s="3">
        <f>F154/E154</f>
        <v>3.3243224378251356E-2</v>
      </c>
      <c r="I154" s="3"/>
      <c r="J154" s="3"/>
      <c r="L154" s="3"/>
      <c r="M154" s="3"/>
      <c r="N154" s="3"/>
      <c r="O154" s="3"/>
    </row>
    <row r="155" spans="1:15">
      <c r="A155">
        <f t="shared" ref="A155:A185" si="42">A154+1</f>
        <v>2</v>
      </c>
      <c r="B155">
        <f t="shared" si="40"/>
        <v>4</v>
      </c>
      <c r="C155">
        <f t="shared" ref="C155:C185" si="43">0.18*B155</f>
        <v>0.72</v>
      </c>
      <c r="D155" s="3">
        <f t="shared" ref="D155:D176" si="44">$A$3/($C$3*B41 + $G$3 *$E$3*C$37)</f>
        <v>1749.4751574527643</v>
      </c>
      <c r="E155">
        <f t="shared" ref="E155:E185" si="45">$C$3*D155*B155 +$G$3*0.66*400*D155</f>
        <v>1000.0000000000001</v>
      </c>
      <c r="F155" s="3">
        <f t="shared" si="41"/>
        <v>34.709865346917276</v>
      </c>
      <c r="G155" s="3">
        <f t="shared" ref="G155:G185" si="46">F155/E155</f>
        <v>3.4709865346917272E-2</v>
      </c>
      <c r="I155" s="3"/>
      <c r="J155" s="3"/>
      <c r="L155" s="3"/>
      <c r="M155" s="3"/>
      <c r="N155" s="3"/>
      <c r="O155" s="3"/>
    </row>
    <row r="156" spans="1:15">
      <c r="A156">
        <f t="shared" si="42"/>
        <v>3</v>
      </c>
      <c r="B156">
        <f t="shared" si="40"/>
        <v>9</v>
      </c>
      <c r="C156">
        <f t="shared" si="43"/>
        <v>1.6199999999999999</v>
      </c>
      <c r="D156" s="3">
        <f t="shared" si="44"/>
        <v>1103.0222810500773</v>
      </c>
      <c r="E156">
        <f t="shared" si="45"/>
        <v>1000.0000000000001</v>
      </c>
      <c r="F156" s="3">
        <f t="shared" si="41"/>
        <v>26.065073026501103</v>
      </c>
      <c r="G156" s="3">
        <f t="shared" si="46"/>
        <v>2.6065073026501101E-2</v>
      </c>
      <c r="I156" s="3"/>
      <c r="J156" s="3"/>
      <c r="L156" s="3"/>
      <c r="M156" s="3"/>
      <c r="N156" s="3"/>
      <c r="O156" s="3"/>
    </row>
    <row r="157" spans="1:15">
      <c r="A157">
        <f t="shared" si="42"/>
        <v>4</v>
      </c>
      <c r="B157">
        <f t="shared" si="40"/>
        <v>16</v>
      </c>
      <c r="C157">
        <f t="shared" si="43"/>
        <v>2.88</v>
      </c>
      <c r="D157" s="3">
        <f t="shared" si="44"/>
        <v>726.9555103227683</v>
      </c>
      <c r="E157">
        <f t="shared" si="45"/>
        <v>1000.0000000000001</v>
      </c>
      <c r="F157" s="3">
        <f t="shared" si="41"/>
        <v>18.594435741820266</v>
      </c>
      <c r="G157" s="3">
        <f t="shared" si="46"/>
        <v>1.8594435741820264E-2</v>
      </c>
      <c r="I157" s="3"/>
      <c r="J157" s="3"/>
      <c r="L157" s="3"/>
      <c r="M157" s="3"/>
      <c r="N157" s="3"/>
      <c r="O157" s="3"/>
    </row>
    <row r="158" spans="1:15">
      <c r="A158">
        <f t="shared" si="42"/>
        <v>5</v>
      </c>
      <c r="B158">
        <f t="shared" si="40"/>
        <v>25</v>
      </c>
      <c r="C158">
        <f t="shared" si="43"/>
        <v>4.5</v>
      </c>
      <c r="D158" s="3">
        <f t="shared" si="44"/>
        <v>505.40786414636608</v>
      </c>
      <c r="E158">
        <f t="shared" si="45"/>
        <v>1000</v>
      </c>
      <c r="F158" s="3">
        <f t="shared" si="41"/>
        <v>13.473929188622215</v>
      </c>
      <c r="G158" s="3">
        <f t="shared" si="46"/>
        <v>1.3473929188622214E-2</v>
      </c>
      <c r="I158" s="3"/>
      <c r="J158" s="3"/>
      <c r="L158" s="3"/>
      <c r="M158" s="3"/>
      <c r="N158" s="3"/>
      <c r="O158" s="3"/>
    </row>
    <row r="159" spans="1:15">
      <c r="A159">
        <f t="shared" si="42"/>
        <v>6</v>
      </c>
      <c r="B159">
        <f t="shared" si="40"/>
        <v>36</v>
      </c>
      <c r="C159">
        <f t="shared" si="43"/>
        <v>6.4799999999999995</v>
      </c>
      <c r="D159" s="3">
        <f t="shared" si="44"/>
        <v>368.24274561791134</v>
      </c>
      <c r="E159">
        <f t="shared" si="45"/>
        <v>1000.0000000000001</v>
      </c>
      <c r="F159" s="3">
        <f t="shared" si="41"/>
        <v>10.055734860104476</v>
      </c>
      <c r="G159" s="3">
        <f t="shared" si="46"/>
        <v>1.0055734860104474E-2</v>
      </c>
      <c r="I159" s="3"/>
      <c r="J159" s="3"/>
      <c r="L159" s="3"/>
      <c r="M159" s="3"/>
      <c r="N159" s="3"/>
      <c r="O159" s="3"/>
    </row>
    <row r="160" spans="1:15">
      <c r="A160">
        <f t="shared" si="42"/>
        <v>7</v>
      </c>
      <c r="B160">
        <f t="shared" si="40"/>
        <v>49</v>
      </c>
      <c r="C160">
        <f t="shared" si="43"/>
        <v>8.82</v>
      </c>
      <c r="D160" s="3">
        <f t="shared" si="44"/>
        <v>278.81559136786927</v>
      </c>
      <c r="E160">
        <f t="shared" si="45"/>
        <v>1000</v>
      </c>
      <c r="F160" s="3">
        <f t="shared" si="41"/>
        <v>7.7292060862882082</v>
      </c>
      <c r="G160" s="3">
        <f t="shared" si="46"/>
        <v>7.7292060862882081E-3</v>
      </c>
      <c r="I160" s="3"/>
      <c r="J160" s="3"/>
      <c r="L160" s="3"/>
      <c r="M160" s="3"/>
      <c r="N160" s="3"/>
      <c r="O160" s="3"/>
    </row>
    <row r="161" spans="1:15">
      <c r="A161">
        <f t="shared" si="42"/>
        <v>8</v>
      </c>
      <c r="B161">
        <f t="shared" si="40"/>
        <v>64</v>
      </c>
      <c r="C161">
        <f t="shared" si="43"/>
        <v>11.52</v>
      </c>
      <c r="D161" s="3">
        <f t="shared" si="44"/>
        <v>217.78900601097655</v>
      </c>
      <c r="E161">
        <f t="shared" si="45"/>
        <v>999.99999999999989</v>
      </c>
      <c r="F161" s="3">
        <f t="shared" si="41"/>
        <v>6.0982493696506124</v>
      </c>
      <c r="G161" s="3">
        <f t="shared" si="46"/>
        <v>6.0982493696506131E-3</v>
      </c>
      <c r="I161" s="3"/>
      <c r="J161" s="3"/>
      <c r="L161" s="3"/>
      <c r="M161" s="3"/>
      <c r="N161" s="3"/>
      <c r="O161" s="3"/>
    </row>
    <row r="162" spans="1:15">
      <c r="A162">
        <f t="shared" si="42"/>
        <v>9</v>
      </c>
      <c r="B162">
        <f t="shared" si="40"/>
        <v>81</v>
      </c>
      <c r="C162">
        <f t="shared" si="43"/>
        <v>14.58</v>
      </c>
      <c r="D162" s="3">
        <f t="shared" si="44"/>
        <v>174.50179736851288</v>
      </c>
      <c r="E162">
        <f t="shared" si="45"/>
        <v>1000</v>
      </c>
      <c r="F162" s="3">
        <f t="shared" si="41"/>
        <v>4.9204364796662983</v>
      </c>
      <c r="G162" s="3">
        <f t="shared" si="46"/>
        <v>4.9204364796662983E-3</v>
      </c>
      <c r="I162" s="3"/>
      <c r="J162" s="3"/>
      <c r="L162" s="3"/>
      <c r="M162" s="3"/>
      <c r="N162" s="3"/>
      <c r="O162" s="3"/>
    </row>
    <row r="163" spans="1:15">
      <c r="A163">
        <f t="shared" si="42"/>
        <v>10</v>
      </c>
      <c r="B163">
        <f t="shared" si="40"/>
        <v>100</v>
      </c>
      <c r="C163">
        <f t="shared" si="43"/>
        <v>18</v>
      </c>
      <c r="D163" s="3">
        <f t="shared" si="44"/>
        <v>142.78371123422238</v>
      </c>
      <c r="E163">
        <f t="shared" si="45"/>
        <v>999.99999999999989</v>
      </c>
      <c r="F163" s="3">
        <f t="shared" si="41"/>
        <v>4.0464973686738084</v>
      </c>
      <c r="G163" s="3">
        <f t="shared" si="46"/>
        <v>4.046497368673809E-3</v>
      </c>
      <c r="I163" s="3"/>
      <c r="J163" s="3"/>
      <c r="L163" s="3"/>
      <c r="M163" s="3"/>
      <c r="N163" s="3"/>
      <c r="O163" s="3"/>
    </row>
    <row r="164" spans="1:15">
      <c r="A164">
        <f t="shared" si="42"/>
        <v>11</v>
      </c>
      <c r="B164">
        <f t="shared" si="40"/>
        <v>121</v>
      </c>
      <c r="C164">
        <f t="shared" si="43"/>
        <v>21.779999999999998</v>
      </c>
      <c r="D164" s="3">
        <f t="shared" si="44"/>
        <v>118.89758162318978</v>
      </c>
      <c r="E164">
        <f t="shared" si="45"/>
        <v>1000</v>
      </c>
      <c r="F164" s="3">
        <f t="shared" si="41"/>
        <v>3.382310550330605</v>
      </c>
      <c r="G164" s="3">
        <f t="shared" si="46"/>
        <v>3.3823105503306052E-3</v>
      </c>
      <c r="I164" s="3"/>
      <c r="J164" s="3"/>
      <c r="L164" s="3"/>
      <c r="M164" s="3"/>
      <c r="N164" s="3"/>
      <c r="O164" s="3"/>
    </row>
    <row r="165" spans="1:15">
      <c r="A165">
        <f t="shared" si="42"/>
        <v>12</v>
      </c>
      <c r="B165">
        <f t="shared" si="40"/>
        <v>144</v>
      </c>
      <c r="C165">
        <f t="shared" si="43"/>
        <v>25.919999999999998</v>
      </c>
      <c r="D165" s="3">
        <f t="shared" si="44"/>
        <v>100.48635395313318</v>
      </c>
      <c r="E165">
        <f t="shared" si="45"/>
        <v>1000.0000000000002</v>
      </c>
      <c r="F165" s="3">
        <f t="shared" si="41"/>
        <v>2.8668379331697751</v>
      </c>
      <c r="G165" s="3">
        <f t="shared" si="46"/>
        <v>2.8668379331697746E-3</v>
      </c>
      <c r="I165" s="3"/>
      <c r="J165" s="3"/>
      <c r="L165" s="3"/>
      <c r="M165" s="3"/>
      <c r="N165" s="3"/>
      <c r="O165" s="3"/>
    </row>
    <row r="166" spans="1:15">
      <c r="A166">
        <f t="shared" si="42"/>
        <v>13</v>
      </c>
      <c r="B166">
        <f t="shared" si="40"/>
        <v>169</v>
      </c>
      <c r="C166">
        <f t="shared" si="43"/>
        <v>30.419999999999998</v>
      </c>
      <c r="D166" s="3">
        <f t="shared" si="44"/>
        <v>86.009667486625503</v>
      </c>
      <c r="E166">
        <f t="shared" si="45"/>
        <v>1000.0000000000002</v>
      </c>
      <c r="F166" s="3">
        <f t="shared" si="41"/>
        <v>2.4593793303809459</v>
      </c>
      <c r="G166" s="3">
        <f t="shared" si="46"/>
        <v>2.4593793303809455E-3</v>
      </c>
      <c r="I166" s="3"/>
      <c r="J166" s="3"/>
      <c r="L166" s="3"/>
      <c r="M166" s="3"/>
      <c r="N166" s="3"/>
      <c r="O166" s="3"/>
    </row>
    <row r="167" spans="1:15">
      <c r="A167">
        <f t="shared" si="42"/>
        <v>14</v>
      </c>
      <c r="B167">
        <f t="shared" si="40"/>
        <v>196</v>
      </c>
      <c r="C167">
        <f t="shared" si="43"/>
        <v>35.28</v>
      </c>
      <c r="D167" s="3">
        <f t="shared" si="44"/>
        <v>74.429128583762534</v>
      </c>
      <c r="E167">
        <f t="shared" si="45"/>
        <v>999.99999999999989</v>
      </c>
      <c r="F167" s="3">
        <f t="shared" si="41"/>
        <v>2.1320810027027188</v>
      </c>
      <c r="G167" s="3">
        <f t="shared" si="46"/>
        <v>2.1320810027027192E-3</v>
      </c>
      <c r="I167" s="3"/>
      <c r="J167" s="3"/>
      <c r="L167" s="3"/>
      <c r="M167" s="3"/>
      <c r="N167" s="3"/>
      <c r="O167" s="3"/>
    </row>
    <row r="168" spans="1:15">
      <c r="A168">
        <f t="shared" si="42"/>
        <v>15</v>
      </c>
      <c r="B168">
        <f t="shared" si="40"/>
        <v>225</v>
      </c>
      <c r="C168">
        <f t="shared" si="43"/>
        <v>40.5</v>
      </c>
      <c r="D168" s="3">
        <f t="shared" si="44"/>
        <v>65.025424941151982</v>
      </c>
      <c r="E168">
        <f t="shared" si="45"/>
        <v>1000</v>
      </c>
      <c r="F168" s="3">
        <f t="shared" si="41"/>
        <v>1.8654229732788217</v>
      </c>
      <c r="G168" s="3">
        <f t="shared" si="46"/>
        <v>1.8654229732788217E-3</v>
      </c>
      <c r="I168" s="3"/>
      <c r="J168" s="3"/>
      <c r="L168" s="3"/>
      <c r="M168" s="3"/>
      <c r="N168" s="3"/>
      <c r="O168" s="3"/>
    </row>
    <row r="169" spans="1:15">
      <c r="A169">
        <f t="shared" si="42"/>
        <v>16</v>
      </c>
      <c r="B169">
        <f t="shared" si="40"/>
        <v>256</v>
      </c>
      <c r="C169">
        <f t="shared" si="43"/>
        <v>46.08</v>
      </c>
      <c r="D169" s="3">
        <f t="shared" si="44"/>
        <v>57.288205504250783</v>
      </c>
      <c r="E169">
        <f t="shared" si="45"/>
        <v>1000</v>
      </c>
      <c r="F169" s="3">
        <f t="shared" si="41"/>
        <v>1.6454287222259902</v>
      </c>
      <c r="G169" s="3">
        <f t="shared" si="46"/>
        <v>1.6454287222259902E-3</v>
      </c>
      <c r="I169" s="3"/>
      <c r="J169" s="3"/>
      <c r="L169" s="3"/>
      <c r="M169" s="3"/>
      <c r="N169" s="3"/>
      <c r="O169" s="3"/>
    </row>
    <row r="170" spans="1:15">
      <c r="A170">
        <f t="shared" si="42"/>
        <v>17</v>
      </c>
      <c r="B170">
        <f t="shared" si="40"/>
        <v>289</v>
      </c>
      <c r="C170">
        <f t="shared" si="43"/>
        <v>52.019999999999996</v>
      </c>
      <c r="D170" s="3">
        <f t="shared" si="44"/>
        <v>50.84762999196608</v>
      </c>
      <c r="E170">
        <f t="shared" si="45"/>
        <v>1000.0000000000001</v>
      </c>
      <c r="F170" s="3">
        <f t="shared" si="41"/>
        <v>1.4618952590089958</v>
      </c>
      <c r="G170" s="3">
        <f t="shared" si="46"/>
        <v>1.4618952590089956E-3</v>
      </c>
      <c r="I170" s="3"/>
      <c r="J170" s="3"/>
      <c r="L170" s="3"/>
      <c r="M170" s="3"/>
      <c r="N170" s="3"/>
      <c r="O170" s="3"/>
    </row>
    <row r="171" spans="1:15">
      <c r="A171">
        <f t="shared" si="42"/>
        <v>18</v>
      </c>
      <c r="B171">
        <f t="shared" si="40"/>
        <v>324</v>
      </c>
      <c r="C171">
        <f t="shared" si="43"/>
        <v>58.32</v>
      </c>
      <c r="D171" s="3">
        <f t="shared" si="44"/>
        <v>45.430591142851945</v>
      </c>
      <c r="E171">
        <f t="shared" si="45"/>
        <v>1000</v>
      </c>
      <c r="F171" s="3">
        <f t="shared" si="41"/>
        <v>1.3072430763818881</v>
      </c>
      <c r="G171" s="3">
        <f t="shared" si="46"/>
        <v>1.307243076381888E-3</v>
      </c>
      <c r="I171" s="3"/>
      <c r="J171" s="3"/>
      <c r="L171" s="3"/>
      <c r="M171" s="3"/>
      <c r="N171" s="3"/>
      <c r="O171" s="3"/>
    </row>
    <row r="172" spans="1:15">
      <c r="A172">
        <f t="shared" si="42"/>
        <v>19</v>
      </c>
      <c r="B172">
        <f t="shared" si="40"/>
        <v>361</v>
      </c>
      <c r="C172">
        <f t="shared" si="43"/>
        <v>64.98</v>
      </c>
      <c r="D172" s="3">
        <f t="shared" si="44"/>
        <v>40.831992682906908</v>
      </c>
      <c r="E172">
        <f t="shared" si="45"/>
        <v>1000</v>
      </c>
      <c r="F172" s="3">
        <f t="shared" si="41"/>
        <v>1.1757520013351253</v>
      </c>
      <c r="G172" s="3">
        <f t="shared" si="46"/>
        <v>1.1757520013351253E-3</v>
      </c>
      <c r="I172" s="3"/>
      <c r="J172" s="3"/>
      <c r="L172" s="3"/>
      <c r="M172" s="3"/>
      <c r="N172" s="3"/>
      <c r="O172" s="3"/>
    </row>
    <row r="173" spans="1:15">
      <c r="A173">
        <f t="shared" si="42"/>
        <v>20</v>
      </c>
      <c r="B173">
        <f t="shared" si="40"/>
        <v>400</v>
      </c>
      <c r="C173">
        <f t="shared" si="43"/>
        <v>72</v>
      </c>
      <c r="D173" s="3">
        <f t="shared" si="44"/>
        <v>36.895467760740267</v>
      </c>
      <c r="E173">
        <f t="shared" si="45"/>
        <v>1000</v>
      </c>
      <c r="F173" s="3">
        <f t="shared" si="41"/>
        <v>1.0630428973262254</v>
      </c>
      <c r="G173" s="3">
        <f t="shared" si="46"/>
        <v>1.0630428973262254E-3</v>
      </c>
      <c r="I173" s="3"/>
      <c r="J173" s="3"/>
      <c r="L173" s="3"/>
      <c r="M173" s="3"/>
      <c r="N173" s="3"/>
      <c r="O173" s="3"/>
    </row>
    <row r="174" spans="1:15">
      <c r="A174">
        <f t="shared" si="42"/>
        <v>21</v>
      </c>
      <c r="B174">
        <f t="shared" si="40"/>
        <v>441</v>
      </c>
      <c r="C174">
        <f t="shared" si="43"/>
        <v>79.38</v>
      </c>
      <c r="D174" s="3">
        <f t="shared" si="44"/>
        <v>33.500164150804338</v>
      </c>
      <c r="E174">
        <f t="shared" si="45"/>
        <v>1000</v>
      </c>
      <c r="F174" s="3">
        <f t="shared" si="41"/>
        <v>0.9657194108290913</v>
      </c>
      <c r="G174" s="3">
        <f t="shared" si="46"/>
        <v>9.6571941082909132E-4</v>
      </c>
      <c r="I174" s="3"/>
      <c r="J174" s="3"/>
      <c r="L174" s="3"/>
      <c r="M174" s="3"/>
      <c r="N174" s="3"/>
      <c r="O174" s="3"/>
    </row>
    <row r="175" spans="1:15">
      <c r="A175">
        <f t="shared" si="42"/>
        <v>22</v>
      </c>
      <c r="B175">
        <f t="shared" si="40"/>
        <v>484</v>
      </c>
      <c r="C175">
        <f t="shared" si="43"/>
        <v>87.11999999999999</v>
      </c>
      <c r="D175" s="3">
        <f t="shared" si="44"/>
        <v>30.551515966222237</v>
      </c>
      <c r="E175">
        <f t="shared" si="45"/>
        <v>999.99999999999989</v>
      </c>
      <c r="F175" s="3">
        <f t="shared" si="41"/>
        <v>0.88111600780271893</v>
      </c>
      <c r="G175" s="3">
        <f t="shared" si="46"/>
        <v>8.8111600780271901E-4</v>
      </c>
      <c r="I175" s="3"/>
      <c r="J175" s="3"/>
      <c r="L175" s="3"/>
      <c r="M175" s="3"/>
      <c r="N175" s="3"/>
      <c r="O175" s="3"/>
    </row>
    <row r="176" spans="1:15">
      <c r="A176">
        <f t="shared" si="42"/>
        <v>23</v>
      </c>
      <c r="B176">
        <f t="shared" si="40"/>
        <v>529</v>
      </c>
      <c r="C176">
        <f t="shared" si="43"/>
        <v>95.22</v>
      </c>
      <c r="D176" s="3">
        <f t="shared" si="44"/>
        <v>27.974688501843527</v>
      </c>
      <c r="E176">
        <f t="shared" si="45"/>
        <v>999.99999999999989</v>
      </c>
      <c r="F176" s="3">
        <f t="shared" si="41"/>
        <v>0.80711791744760775</v>
      </c>
      <c r="G176" s="3">
        <f t="shared" si="46"/>
        <v>8.0711791744760789E-4</v>
      </c>
      <c r="I176" s="3"/>
      <c r="J176" s="3"/>
      <c r="L176" s="3"/>
      <c r="M176" s="3"/>
      <c r="N176" s="3"/>
      <c r="O176" s="3"/>
    </row>
    <row r="177" spans="1:15">
      <c r="A177">
        <f t="shared" si="42"/>
        <v>24</v>
      </c>
      <c r="B177">
        <f t="shared" si="40"/>
        <v>576</v>
      </c>
      <c r="C177">
        <f t="shared" si="43"/>
        <v>103.67999999999999</v>
      </c>
      <c r="D177" s="3">
        <f t="shared" ref="D177:D185" si="47">$A$3/($C$3*B177 + $G$3 * $E$3 *$B$150)</f>
        <v>25.709848928927691</v>
      </c>
      <c r="E177">
        <f t="shared" si="45"/>
        <v>1000</v>
      </c>
      <c r="F177" s="3">
        <f t="shared" si="41"/>
        <v>0.74203056077070761</v>
      </c>
      <c r="G177" s="3">
        <f t="shared" si="46"/>
        <v>7.4203056077070762E-4</v>
      </c>
      <c r="I177" s="3"/>
      <c r="J177" s="3"/>
      <c r="L177" s="3"/>
      <c r="M177" s="3"/>
      <c r="N177" s="3"/>
      <c r="O177" s="3"/>
    </row>
    <row r="178" spans="1:15">
      <c r="A178">
        <f t="shared" si="42"/>
        <v>25</v>
      </c>
      <c r="B178">
        <f t="shared" si="40"/>
        <v>625</v>
      </c>
      <c r="C178">
        <f t="shared" si="43"/>
        <v>112.5</v>
      </c>
      <c r="D178" s="3">
        <f t="shared" si="47"/>
        <v>23.708705362434976</v>
      </c>
      <c r="E178">
        <f t="shared" si="45"/>
        <v>1000</v>
      </c>
      <c r="F178" s="3">
        <f t="shared" si="41"/>
        <v>0.68448357530684267</v>
      </c>
      <c r="G178" s="3">
        <f t="shared" si="46"/>
        <v>6.8448357530684269E-4</v>
      </c>
      <c r="I178" s="3"/>
      <c r="J178" s="3"/>
      <c r="L178" s="3"/>
      <c r="M178" s="3"/>
      <c r="N178" s="3"/>
      <c r="O178" s="3"/>
    </row>
    <row r="179" spans="1:15">
      <c r="A179">
        <f t="shared" si="42"/>
        <v>26</v>
      </c>
      <c r="B179">
        <f t="shared" si="40"/>
        <v>676</v>
      </c>
      <c r="C179">
        <f t="shared" si="43"/>
        <v>121.67999999999999</v>
      </c>
      <c r="D179" s="3">
        <f t="shared" si="47"/>
        <v>21.931940801305387</v>
      </c>
      <c r="E179">
        <f t="shared" si="45"/>
        <v>1000</v>
      </c>
      <c r="F179" s="3">
        <f t="shared" si="41"/>
        <v>0.63335938293517624</v>
      </c>
      <c r="G179" s="3">
        <f t="shared" si="46"/>
        <v>6.333593829351762E-4</v>
      </c>
      <c r="I179" s="3"/>
      <c r="J179" s="3"/>
      <c r="L179" s="3"/>
      <c r="M179" s="3"/>
      <c r="N179" s="3"/>
      <c r="O179" s="3"/>
    </row>
    <row r="180" spans="1:15">
      <c r="A180">
        <f t="shared" si="42"/>
        <v>27</v>
      </c>
      <c r="B180">
        <f t="shared" si="40"/>
        <v>729</v>
      </c>
      <c r="C180">
        <f t="shared" si="43"/>
        <v>131.22</v>
      </c>
      <c r="D180" s="3">
        <f t="shared" si="47"/>
        <v>20.347287503102958</v>
      </c>
      <c r="E180">
        <f t="shared" si="45"/>
        <v>999.99999999999989</v>
      </c>
      <c r="F180" s="3">
        <f t="shared" si="41"/>
        <v>0.58773940636941446</v>
      </c>
      <c r="G180" s="3">
        <f t="shared" si="46"/>
        <v>5.8773940636941456E-4</v>
      </c>
      <c r="I180" s="3"/>
      <c r="J180" s="3"/>
      <c r="L180" s="3"/>
      <c r="M180" s="3"/>
      <c r="N180" s="3"/>
      <c r="O180" s="3"/>
    </row>
    <row r="181" spans="1:15">
      <c r="A181">
        <f t="shared" si="42"/>
        <v>28</v>
      </c>
      <c r="B181">
        <f t="shared" si="40"/>
        <v>784</v>
      </c>
      <c r="C181">
        <f t="shared" si="43"/>
        <v>141.12</v>
      </c>
      <c r="D181" s="3">
        <f t="shared" si="47"/>
        <v>18.92806577881419</v>
      </c>
      <c r="E181">
        <f t="shared" si="45"/>
        <v>999.99999999999989</v>
      </c>
      <c r="F181" s="3">
        <f t="shared" si="41"/>
        <v>0.54686313719455504</v>
      </c>
      <c r="G181" s="3">
        <f t="shared" si="46"/>
        <v>5.4686313719455506E-4</v>
      </c>
      <c r="I181" s="3"/>
      <c r="J181" s="3"/>
      <c r="L181" s="3"/>
      <c r="M181" s="3"/>
      <c r="N181" s="3"/>
      <c r="O181" s="3"/>
    </row>
    <row r="182" spans="1:15">
      <c r="A182">
        <f t="shared" si="42"/>
        <v>29</v>
      </c>
      <c r="B182">
        <f t="shared" si="40"/>
        <v>841</v>
      </c>
      <c r="C182">
        <f t="shared" si="43"/>
        <v>151.38</v>
      </c>
      <c r="D182" s="3">
        <f t="shared" si="47"/>
        <v>17.652063702767489</v>
      </c>
      <c r="E182">
        <f t="shared" si="45"/>
        <v>1000</v>
      </c>
      <c r="F182" s="3">
        <f t="shared" si="41"/>
        <v>0.51009667233754619</v>
      </c>
      <c r="G182" s="3">
        <f t="shared" si="46"/>
        <v>5.1009667233754624E-4</v>
      </c>
      <c r="I182" s="3"/>
      <c r="J182" s="3"/>
      <c r="L182" s="3"/>
      <c r="M182" s="3"/>
      <c r="N182" s="3"/>
      <c r="O182" s="3"/>
    </row>
    <row r="183" spans="1:15">
      <c r="A183">
        <f t="shared" si="42"/>
        <v>30</v>
      </c>
      <c r="B183">
        <f t="shared" si="40"/>
        <v>900</v>
      </c>
      <c r="C183">
        <f t="shared" si="43"/>
        <v>162</v>
      </c>
      <c r="D183" s="3">
        <f t="shared" si="47"/>
        <v>16.500669927199041</v>
      </c>
      <c r="E183">
        <f t="shared" si="45"/>
        <v>999.99999999999977</v>
      </c>
      <c r="F183" s="3">
        <f t="shared" si="41"/>
        <v>0.47690830290379399</v>
      </c>
      <c r="G183" s="3">
        <f t="shared" si="46"/>
        <v>4.7690830290379412E-4</v>
      </c>
      <c r="I183" s="3"/>
      <c r="J183" s="3"/>
      <c r="L183" s="3"/>
      <c r="M183" s="3"/>
      <c r="N183" s="3"/>
      <c r="O183" s="3"/>
    </row>
    <row r="184" spans="1:15">
      <c r="A184">
        <f t="shared" si="42"/>
        <v>31</v>
      </c>
      <c r="B184">
        <f t="shared" si="40"/>
        <v>961</v>
      </c>
      <c r="C184">
        <f t="shared" si="43"/>
        <v>172.98</v>
      </c>
      <c r="D184" s="3">
        <f t="shared" si="47"/>
        <v>15.458196399476893</v>
      </c>
      <c r="E184">
        <f t="shared" si="45"/>
        <v>1000</v>
      </c>
      <c r="F184" s="3">
        <f t="shared" si="41"/>
        <v>0.44684940955828328</v>
      </c>
      <c r="G184" s="3">
        <f t="shared" si="46"/>
        <v>4.4684940955828326E-4</v>
      </c>
      <c r="I184" s="3"/>
      <c r="J184" s="3"/>
      <c r="L184" s="3"/>
      <c r="M184" s="3"/>
      <c r="N184" s="3"/>
      <c r="O184" s="3"/>
    </row>
    <row r="185" spans="1:15">
      <c r="A185">
        <f t="shared" si="42"/>
        <v>32</v>
      </c>
      <c r="B185">
        <f t="shared" si="40"/>
        <v>1024</v>
      </c>
      <c r="C185">
        <f t="shared" si="43"/>
        <v>184.32</v>
      </c>
      <c r="D185" s="3">
        <f t="shared" si="47"/>
        <v>14.511344969497152</v>
      </c>
      <c r="E185">
        <f t="shared" si="45"/>
        <v>1000</v>
      </c>
      <c r="F185" s="3">
        <f t="shared" si="41"/>
        <v>0.41953938901073534</v>
      </c>
      <c r="G185" s="3">
        <f t="shared" si="46"/>
        <v>4.1953938901073532E-4</v>
      </c>
      <c r="I185" s="3"/>
      <c r="J185" s="3"/>
      <c r="L185" s="3"/>
      <c r="M185" s="3"/>
      <c r="N185" s="3"/>
      <c r="O185" s="3"/>
    </row>
    <row r="186" spans="1:15">
      <c r="E186" s="3"/>
      <c r="I186" s="3"/>
      <c r="J186" s="3"/>
      <c r="L186" s="3"/>
      <c r="M186" s="3"/>
      <c r="N186" s="3"/>
      <c r="O186" s="3"/>
    </row>
    <row r="187" spans="1:15">
      <c r="E187" s="3"/>
      <c r="I187" s="3"/>
      <c r="J187" s="3"/>
      <c r="L187" s="3"/>
      <c r="M187" s="3"/>
      <c r="N187" s="3"/>
      <c r="O187" s="3"/>
    </row>
    <row r="188" spans="1:15">
      <c r="E188" s="3"/>
      <c r="I188" s="3"/>
      <c r="J188" s="3"/>
      <c r="L188" s="3"/>
      <c r="M188" s="3"/>
      <c r="N188" s="3"/>
      <c r="O188" s="3"/>
    </row>
    <row r="189" spans="1:15">
      <c r="E189" s="3"/>
      <c r="I189" s="3"/>
      <c r="J189" s="3"/>
      <c r="L189" s="3"/>
      <c r="M189" s="3"/>
      <c r="N189" s="3"/>
      <c r="O189" s="3"/>
    </row>
    <row r="190" spans="1:15">
      <c r="E190" s="3"/>
      <c r="I190" s="3"/>
      <c r="J190" s="3"/>
      <c r="L190" s="3"/>
      <c r="M190" s="3"/>
      <c r="N190" s="3"/>
      <c r="O190" s="3"/>
    </row>
    <row r="191" spans="1:15">
      <c r="E191" s="3"/>
      <c r="I191" s="3"/>
      <c r="J191" s="3"/>
      <c r="L191" s="3"/>
      <c r="M191" s="3"/>
      <c r="N191" s="3"/>
      <c r="O191" s="3"/>
    </row>
    <row r="192" spans="1:15">
      <c r="E192" s="3"/>
      <c r="I192" s="3"/>
      <c r="J192" s="3"/>
      <c r="L192" s="3"/>
      <c r="M192" s="3"/>
      <c r="N192" s="3"/>
      <c r="O192" s="3"/>
    </row>
    <row r="193" spans="5:15">
      <c r="E193" s="3"/>
      <c r="I193" s="3"/>
      <c r="J193" s="3"/>
      <c r="L193" s="3"/>
      <c r="M193" s="3"/>
      <c r="N193" s="3"/>
      <c r="O193" s="3"/>
    </row>
    <row r="194" spans="5:15">
      <c r="E194" s="3"/>
      <c r="I194" s="3"/>
      <c r="J194" s="3"/>
      <c r="L194" s="3"/>
      <c r="M194" s="3"/>
      <c r="N194" s="3"/>
      <c r="O194" s="3"/>
    </row>
    <row r="195" spans="5:15">
      <c r="E195" s="3"/>
      <c r="I195" s="3"/>
      <c r="J195" s="3"/>
      <c r="L195" s="3"/>
      <c r="M195" s="3"/>
      <c r="N195" s="3"/>
      <c r="O195" s="3"/>
    </row>
    <row r="196" spans="5:15">
      <c r="E196" s="3"/>
      <c r="I196" s="3"/>
      <c r="J196" s="3"/>
      <c r="L196" s="3"/>
      <c r="M196" s="3"/>
      <c r="N196" s="3"/>
      <c r="O196" s="3"/>
    </row>
  </sheetData>
  <phoneticPr fontId="1" type="noConversion"/>
  <pageMargins left="0.75" right="0.75" top="1" bottom="1" header="0.5" footer="0.5"/>
  <pageSetup paperSize="0" orientation="portrait" horizontalDpi="4294967292" verticalDpi="4294967292"/>
  <drawing r:id="rId1"/>
  <extLst>
    <ext xmlns:mx="http://schemas.microsoft.com/office/mac/excel/2008/main" uri="http://schemas.microsoft.com/office/mac/excel/2008/main">
      <mx:PLV Mode="1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E365E72F8639149B4480CD536255218" ma:contentTypeVersion="10" ma:contentTypeDescription="Create a new document." ma:contentTypeScope="" ma:versionID="d17fda6c6d6b38933406d9674ddaa094">
  <xsd:schema xmlns:xsd="http://www.w3.org/2001/XMLSchema" xmlns:xs="http://www.w3.org/2001/XMLSchema" xmlns:p="http://schemas.microsoft.com/office/2006/metadata/properties" xmlns:ns2="4fcd084d-c371-4dd0-86d2-5661a969a8e9" targetNamespace="http://schemas.microsoft.com/office/2006/metadata/properties" ma:root="true" ma:fieldsID="4d87bf9a336a7da1bb227eca7a44bb71" ns2:_="">
    <xsd:import namespace="4fcd084d-c371-4dd0-86d2-5661a969a8e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cd084d-c371-4dd0-86d2-5661a969a8e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9A32B20-6A3F-4972-82C2-9EEC7E7E893C}"/>
</file>

<file path=customXml/itemProps2.xml><?xml version="1.0" encoding="utf-8"?>
<ds:datastoreItem xmlns:ds="http://schemas.openxmlformats.org/officeDocument/2006/customXml" ds:itemID="{C20081AC-E2B3-4FCF-8ED8-8F70B48E46CE}"/>
</file>

<file path=customXml/itemProps3.xml><?xml version="1.0" encoding="utf-8"?>
<ds:datastoreItem xmlns:ds="http://schemas.openxmlformats.org/officeDocument/2006/customXml" ds:itemID="{F61DC941-7BEB-4780-9DDA-DD8B5BF67EA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fixed total cost</vt:lpstr>
      <vt:lpstr>plot</vt:lpstr>
      <vt:lpstr>vary s-c slope</vt:lpstr>
    </vt:vector>
  </TitlesOfParts>
  <Company>CMU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Jeffrey Peterson</dc:creator>
  <cp:lastModifiedBy>Jeffrey Peterson</cp:lastModifiedBy>
  <cp:lastPrinted>2019-10-29T18:42:16Z</cp:lastPrinted>
  <dcterms:created xsi:type="dcterms:W3CDTF">2019-10-05T12:54:05Z</dcterms:created>
  <dcterms:modified xsi:type="dcterms:W3CDTF">2019-10-30T15:45:28Z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0x010100CE365E72F8639149B4480CD536255218</vt:lpwstr>
  </property>
</Properties>
</file>